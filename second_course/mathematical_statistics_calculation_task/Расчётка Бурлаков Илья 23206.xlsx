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lia\Desktop\"/>
    </mc:Choice>
  </mc:AlternateContent>
  <xr:revisionPtr revIDLastSave="0" documentId="13_ncr:1_{4615AC13-57F1-445F-8C77-E57A62180B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sks 1, 2" sheetId="1" r:id="rId1"/>
    <sheet name="Tasks 3,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2" i="2"/>
  <c r="P20" i="1"/>
  <c r="E20" i="1" l="1"/>
  <c r="J53" i="2" l="1"/>
  <c r="H38" i="2"/>
  <c r="N38" i="2" s="1"/>
  <c r="M38" i="2"/>
  <c r="L38" i="2"/>
  <c r="K38" i="2"/>
  <c r="J38" i="2"/>
  <c r="I38" i="2"/>
  <c r="J44" i="2"/>
  <c r="H33" i="2"/>
  <c r="I33" i="2" s="1"/>
  <c r="E7" i="2" a="1"/>
  <c r="E7" i="2" s="1"/>
  <c r="E12" i="2" a="1"/>
  <c r="E12" i="2" s="1"/>
  <c r="E18" i="2" a="1"/>
  <c r="E18" i="2" s="1"/>
  <c r="E30" i="2" a="1"/>
  <c r="E30" i="2" s="1"/>
  <c r="E34" i="2" a="1"/>
  <c r="E34" i="2" s="1"/>
  <c r="E42" i="2" a="1"/>
  <c r="E42" i="2" s="1"/>
  <c r="E55" i="2" a="1"/>
  <c r="E55" i="2" s="1"/>
  <c r="E60" i="2" a="1"/>
  <c r="E60" i="2" s="1"/>
  <c r="E61" i="2" a="1"/>
  <c r="E61" i="2" s="1"/>
  <c r="D60" i="2" a="1"/>
  <c r="D60" i="2" s="1"/>
  <c r="D61" i="2" a="1"/>
  <c r="D61" i="2" s="1"/>
  <c r="D62" i="2" a="1"/>
  <c r="D62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7" i="2" a="1"/>
  <c r="D7" i="2" s="1"/>
  <c r="D6" i="2" a="1"/>
  <c r="D6" i="2" s="1"/>
  <c r="D5" i="2" a="1"/>
  <c r="D5" i="2" s="1"/>
  <c r="D4" i="2" a="1"/>
  <c r="D4" i="2" s="1"/>
  <c r="D3" i="2" a="1"/>
  <c r="D3" i="2" s="1"/>
  <c r="C3" i="2"/>
  <c r="E6" i="2" s="1" a="1"/>
  <c r="E6" i="2" s="1"/>
  <c r="C4" i="2"/>
  <c r="E8" i="2" s="1" a="1"/>
  <c r="E8" i="2" s="1"/>
  <c r="C5" i="2"/>
  <c r="E10" i="2" s="1" a="1"/>
  <c r="E10" i="2" s="1"/>
  <c r="C6" i="2"/>
  <c r="E13" i="2" s="1" a="1"/>
  <c r="E13" i="2" s="1"/>
  <c r="C7" i="2"/>
  <c r="E14" i="2" s="1" a="1"/>
  <c r="E14" i="2" s="1"/>
  <c r="C8" i="2"/>
  <c r="E16" i="2" s="1" a="1"/>
  <c r="E16" i="2" s="1"/>
  <c r="C9" i="2"/>
  <c r="E19" i="2" s="1" a="1"/>
  <c r="E19" i="2" s="1"/>
  <c r="C10" i="2"/>
  <c r="E20" i="2" s="1" a="1"/>
  <c r="E20" i="2" s="1"/>
  <c r="C11" i="2"/>
  <c r="E22" i="2" s="1" a="1"/>
  <c r="E22" i="2" s="1"/>
  <c r="C12" i="2"/>
  <c r="E24" i="2" s="1" a="1"/>
  <c r="E24" i="2" s="1"/>
  <c r="C13" i="2"/>
  <c r="E26" i="2" s="1" a="1"/>
  <c r="E26" i="2" s="1"/>
  <c r="C14" i="2"/>
  <c r="E28" i="2" s="1" a="1"/>
  <c r="E28" i="2" s="1"/>
  <c r="C15" i="2"/>
  <c r="E31" i="2" s="1" a="1"/>
  <c r="E31" i="2" s="1"/>
  <c r="C16" i="2"/>
  <c r="E33" i="2" s="1" a="1"/>
  <c r="E33" i="2" s="1"/>
  <c r="C17" i="2"/>
  <c r="E35" i="2" s="1" a="1"/>
  <c r="E35" i="2" s="1"/>
  <c r="C18" i="2"/>
  <c r="E36" i="2" s="1" a="1"/>
  <c r="E36" i="2" s="1"/>
  <c r="C19" i="2"/>
  <c r="E38" i="2" s="1" a="1"/>
  <c r="E38" i="2" s="1"/>
  <c r="C20" i="2"/>
  <c r="E40" i="2" s="1" a="1"/>
  <c r="E40" i="2" s="1"/>
  <c r="C21" i="2"/>
  <c r="E43" i="2" s="1" a="1"/>
  <c r="E43" i="2" s="1"/>
  <c r="C22" i="2"/>
  <c r="E44" i="2" s="1" a="1"/>
  <c r="E44" i="2" s="1"/>
  <c r="C23" i="2"/>
  <c r="E46" i="2" s="1" a="1"/>
  <c r="E46" i="2" s="1"/>
  <c r="C24" i="2"/>
  <c r="E48" i="2" s="1" a="1"/>
  <c r="E48" i="2" s="1"/>
  <c r="C25" i="2"/>
  <c r="E50" i="2" s="1" a="1"/>
  <c r="E50" i="2" s="1"/>
  <c r="C26" i="2"/>
  <c r="E52" i="2" s="1" a="1"/>
  <c r="E52" i="2" s="1"/>
  <c r="C27" i="2"/>
  <c r="E54" i="2" s="1" a="1"/>
  <c r="E54" i="2" s="1"/>
  <c r="C28" i="2"/>
  <c r="E56" i="2" s="1" a="1"/>
  <c r="E56" i="2" s="1"/>
  <c r="C29" i="2"/>
  <c r="E59" i="2" s="1" a="1"/>
  <c r="E59" i="2" s="1"/>
  <c r="C30" i="2"/>
  <c r="C31" i="2"/>
  <c r="E62" i="2" s="1" a="1"/>
  <c r="E62" i="2" s="1"/>
  <c r="C2" i="2"/>
  <c r="E5" i="2" s="1" a="1"/>
  <c r="E5" i="2" s="1"/>
  <c r="O20" i="1"/>
  <c r="G26" i="1" s="1"/>
  <c r="N20" i="1"/>
  <c r="G23" i="1" s="1"/>
  <c r="M20" i="1"/>
  <c r="E23" i="1" s="1"/>
  <c r="J20" i="1"/>
  <c r="X11" i="2" l="1"/>
  <c r="X27" i="2"/>
  <c r="X43" i="2"/>
  <c r="X59" i="2"/>
  <c r="X75" i="2"/>
  <c r="X91" i="2"/>
  <c r="X44" i="2"/>
  <c r="X76" i="2"/>
  <c r="X92" i="2"/>
  <c r="X29" i="2"/>
  <c r="X30" i="2"/>
  <c r="X62" i="2"/>
  <c r="X32" i="2"/>
  <c r="X64" i="2"/>
  <c r="X33" i="2"/>
  <c r="X65" i="2"/>
  <c r="X2" i="2"/>
  <c r="X67" i="2"/>
  <c r="X52" i="2"/>
  <c r="X53" i="2"/>
  <c r="X38" i="2"/>
  <c r="X7" i="2"/>
  <c r="X88" i="2"/>
  <c r="X9" i="2"/>
  <c r="X58" i="2"/>
  <c r="X12" i="2"/>
  <c r="X28" i="2"/>
  <c r="X60" i="2"/>
  <c r="X61" i="2"/>
  <c r="X77" i="2"/>
  <c r="X14" i="2"/>
  <c r="X78" i="2"/>
  <c r="X31" i="2"/>
  <c r="X47" i="2"/>
  <c r="X95" i="2"/>
  <c r="X16" i="2"/>
  <c r="X48" i="2"/>
  <c r="X80" i="2"/>
  <c r="J32" i="2"/>
  <c r="X17" i="2"/>
  <c r="X49" i="2"/>
  <c r="X81" i="2"/>
  <c r="X18" i="2"/>
  <c r="X50" i="2"/>
  <c r="X66" i="2"/>
  <c r="X98" i="2"/>
  <c r="X51" i="2"/>
  <c r="X99" i="2"/>
  <c r="X36" i="2"/>
  <c r="X84" i="2"/>
  <c r="X69" i="2"/>
  <c r="X6" i="2"/>
  <c r="X55" i="2"/>
  <c r="X8" i="2"/>
  <c r="X73" i="2"/>
  <c r="X10" i="2"/>
  <c r="X13" i="2"/>
  <c r="X45" i="2"/>
  <c r="X93" i="2"/>
  <c r="X46" i="2"/>
  <c r="X94" i="2"/>
  <c r="X15" i="2"/>
  <c r="X79" i="2"/>
  <c r="X82" i="2"/>
  <c r="X3" i="2"/>
  <c r="X83" i="2"/>
  <c r="X20" i="2"/>
  <c r="X100" i="2"/>
  <c r="X37" i="2"/>
  <c r="X54" i="2"/>
  <c r="X23" i="2"/>
  <c r="X87" i="2"/>
  <c r="X56" i="2"/>
  <c r="X25" i="2"/>
  <c r="X89" i="2"/>
  <c r="X42" i="2"/>
  <c r="X96" i="2"/>
  <c r="X97" i="2"/>
  <c r="X34" i="2"/>
  <c r="X19" i="2"/>
  <c r="X68" i="2"/>
  <c r="X21" i="2"/>
  <c r="X22" i="2"/>
  <c r="X86" i="2"/>
  <c r="X71" i="2"/>
  <c r="X40" i="2"/>
  <c r="X57" i="2"/>
  <c r="X74" i="2"/>
  <c r="X63" i="2"/>
  <c r="X35" i="2"/>
  <c r="X5" i="2"/>
  <c r="X70" i="2"/>
  <c r="X39" i="2"/>
  <c r="X72" i="2"/>
  <c r="X41" i="2"/>
  <c r="X26" i="2"/>
  <c r="X4" i="2"/>
  <c r="X85" i="2"/>
  <c r="X24" i="2"/>
  <c r="X90" i="2"/>
  <c r="E58" i="2" a="1"/>
  <c r="E58" i="2" s="1"/>
  <c r="E45" i="2" a="1"/>
  <c r="E45" i="2" s="1"/>
  <c r="E32" i="2" a="1"/>
  <c r="E32" i="2" s="1"/>
  <c r="E21" i="2" a="1"/>
  <c r="E21" i="2" s="1"/>
  <c r="E9" i="2" a="1"/>
  <c r="E9" i="2" s="1"/>
  <c r="E57" i="2" a="1"/>
  <c r="E57" i="2" s="1"/>
  <c r="E41" i="2" a="1"/>
  <c r="E41" i="2" s="1"/>
  <c r="E17" i="2" a="1"/>
  <c r="E17" i="2" s="1"/>
  <c r="E29" i="2" a="1"/>
  <c r="E29" i="2" s="1"/>
  <c r="E53" i="2" a="1"/>
  <c r="E53" i="2" s="1"/>
  <c r="E39" i="2" a="1"/>
  <c r="E39" i="2" s="1"/>
  <c r="E27" i="2" a="1"/>
  <c r="E27" i="2" s="1"/>
  <c r="E51" i="2" a="1"/>
  <c r="E51" i="2" s="1"/>
  <c r="E15" i="2" a="1"/>
  <c r="E15" i="2" s="1"/>
  <c r="E25" i="2" a="1"/>
  <c r="E25" i="2" s="1"/>
  <c r="E4" i="2" a="1"/>
  <c r="E4" i="2" s="1"/>
  <c r="E49" i="2" a="1"/>
  <c r="E49" i="2" s="1"/>
  <c r="E37" i="2" a="1"/>
  <c r="E37" i="2" s="1"/>
  <c r="E47" i="2" a="1"/>
  <c r="E47" i="2" s="1"/>
  <c r="E23" i="2" a="1"/>
  <c r="E23" i="2" s="1"/>
  <c r="E11" i="2" a="1"/>
  <c r="E11" i="2" s="1"/>
  <c r="P38" i="2"/>
  <c r="J49" i="2" s="1"/>
  <c r="J39" i="2"/>
  <c r="K39" i="2"/>
  <c r="L39" i="2"/>
  <c r="M39" i="2"/>
  <c r="I39" i="2"/>
  <c r="I20" i="1"/>
  <c r="K20" i="1" s="1"/>
  <c r="H20" i="1"/>
  <c r="G20" i="1"/>
  <c r="F20" i="1"/>
  <c r="D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  <c r="J33" i="2" l="1"/>
  <c r="K33" i="2" s="1"/>
  <c r="H44" i="2" s="1"/>
  <c r="L20" i="1"/>
  <c r="F23" i="1" s="1"/>
  <c r="F26" i="1"/>
  <c r="O38" i="2"/>
  <c r="I6" i="1"/>
  <c r="Q38" i="2" l="1"/>
  <c r="R38" i="2" s="1"/>
  <c r="H53" i="2" s="1"/>
  <c r="H49" i="2"/>
  <c r="G6" i="1"/>
  <c r="D6" i="1"/>
  <c r="G3" i="1"/>
  <c r="M6" i="1" l="1"/>
  <c r="L6" i="1"/>
  <c r="J6" i="1"/>
  <c r="G12" i="1" s="1"/>
  <c r="K6" i="1"/>
  <c r="E12" i="1" s="1"/>
  <c r="E6" i="1"/>
  <c r="F6" i="1" s="1"/>
  <c r="G8" i="1"/>
  <c r="E8" i="1"/>
  <c r="H6" i="1"/>
  <c r="E10" i="1" s="1"/>
  <c r="G14" i="1" l="1"/>
  <c r="G10" i="1"/>
  <c r="E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<sst xmlns="http://schemas.openxmlformats.org/spreadsheetml/2006/main" count="83" uniqueCount="62">
  <si>
    <t>σ^2</t>
  </si>
  <si>
    <t>ε</t>
  </si>
  <si>
    <t>n</t>
  </si>
  <si>
    <t>x̄</t>
  </si>
  <si>
    <t>X</t>
  </si>
  <si>
    <t>средн. X^2</t>
  </si>
  <si>
    <t>S^2</t>
  </si>
  <si>
    <t>а)</t>
  </si>
  <si>
    <t>q1</t>
  </si>
  <si>
    <t>&lt;= α &lt;=</t>
  </si>
  <si>
    <t>б)</t>
  </si>
  <si>
    <t>q2</t>
  </si>
  <si>
    <t>в)</t>
  </si>
  <si>
    <t>&lt;= σ^2 &lt;=</t>
  </si>
  <si>
    <t>α</t>
  </si>
  <si>
    <t>Σ(Xi-α)^2</t>
  </si>
  <si>
    <t>(Xi-α)^2</t>
  </si>
  <si>
    <t>q3_1</t>
  </si>
  <si>
    <t>q3_2</t>
  </si>
  <si>
    <t>г)</t>
  </si>
  <si>
    <t>q4_1</t>
  </si>
  <si>
    <t>q4_2</t>
  </si>
  <si>
    <t>n1</t>
  </si>
  <si>
    <t>n2</t>
  </si>
  <si>
    <t>сред. n1</t>
  </si>
  <si>
    <t>сред. n2</t>
  </si>
  <si>
    <t>ср. кв. n1</t>
  </si>
  <si>
    <t>ср. кв. n2</t>
  </si>
  <si>
    <t>Sn1^2</t>
  </si>
  <si>
    <t>Sn2^2</t>
  </si>
  <si>
    <t>qS</t>
  </si>
  <si>
    <t>TASK 1</t>
  </si>
  <si>
    <t>TASK 2</t>
  </si>
  <si>
    <t>x ⋹ U(0, 1)</t>
  </si>
  <si>
    <t>Упоряд.</t>
  </si>
  <si>
    <t>i/n</t>
  </si>
  <si>
    <t>Y</t>
  </si>
  <si>
    <t>D_n+</t>
  </si>
  <si>
    <t>D_n-</t>
  </si>
  <si>
    <t>D_n</t>
  </si>
  <si>
    <t>q</t>
  </si>
  <si>
    <t>n^(0.5)*​Dn​</t>
  </si>
  <si>
    <t>p-value</t>
  </si>
  <si>
    <t>&lt;</t>
  </si>
  <si>
    <t>Отвергаем основную гип.</t>
  </si>
  <si>
    <t>TASK 3</t>
  </si>
  <si>
    <t>TASK 4</t>
  </si>
  <si>
    <t>Кол-во интервалов</t>
  </si>
  <si>
    <t>[0 ; 0,2)</t>
  </si>
  <si>
    <t>[0,2 ; 0,4)</t>
  </si>
  <si>
    <t>[0,4 ; 0,6)</t>
  </si>
  <si>
    <t>[0,6 ; 0,8)</t>
  </si>
  <si>
    <t>[0,8 ; 1]</t>
  </si>
  <si>
    <t>p_i</t>
  </si>
  <si>
    <t>Ψ_n</t>
  </si>
  <si>
    <t>Слагаемые для Ψ_n:</t>
  </si>
  <si>
    <t>F_(χ^2)(Ψ_n)</t>
  </si>
  <si>
    <t>&gt;</t>
  </si>
  <si>
    <t>η ~ F_(n-1)_(m-1)</t>
  </si>
  <si>
    <t>|Ψ|</t>
  </si>
  <si>
    <t>Принимаем осн. гип. (дисп. совпадают)</t>
  </si>
  <si>
    <t xml:space="preserve">Принимаем осн. гип. (средние совпадают)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</si>
</sst>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38E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5430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2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2" fontId="1" fillId="7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5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9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0" fillId="2" borderId="1" xfId="0" applyFill="1" applyBorder="1"/>
    <xf numFmtId="0" fontId="0" fillId="11" borderId="1" xfId="0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2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5430B"/>
      <color rgb="FFFFFFFF"/>
      <color rgb="FF00CC66"/>
      <color rgb="FFB38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эмпирической функции распределения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'Tasks 3,4'!$D$2:$D$63</c:f>
              <c:numCache>
                <c:formatCode>General</c:formatCode>
                <c:ptCount val="62"/>
                <c:pt idx="0">
                  <c:v>0</c:v>
                </c:pt>
                <c:pt idx="1">
                  <c:v>3.5000000000000003E-2</c:v>
                </c:pt>
                <c:pt idx="2">
                  <c:v>3.5000000000000003E-2</c:v>
                </c:pt>
                <c:pt idx="3">
                  <c:v>6.5000000000000002E-2</c:v>
                </c:pt>
                <c:pt idx="4">
                  <c:v>6.5000000000000002E-2</c:v>
                </c:pt>
                <c:pt idx="5">
                  <c:v>9.1999999999999998E-2</c:v>
                </c:pt>
                <c:pt idx="6">
                  <c:v>9.1999999999999998E-2</c:v>
                </c:pt>
                <c:pt idx="7">
                  <c:v>0.106</c:v>
                </c:pt>
                <c:pt idx="8">
                  <c:v>0.106</c:v>
                </c:pt>
                <c:pt idx="9">
                  <c:v>0.16300000000000001</c:v>
                </c:pt>
                <c:pt idx="10">
                  <c:v>0.16300000000000001</c:v>
                </c:pt>
                <c:pt idx="11">
                  <c:v>0.17499999999999999</c:v>
                </c:pt>
                <c:pt idx="12">
                  <c:v>0.17499999999999999</c:v>
                </c:pt>
                <c:pt idx="13">
                  <c:v>0.36399999999999999</c:v>
                </c:pt>
                <c:pt idx="14">
                  <c:v>0.36399999999999999</c:v>
                </c:pt>
                <c:pt idx="15">
                  <c:v>0.44800000000000001</c:v>
                </c:pt>
                <c:pt idx="16">
                  <c:v>0.44800000000000001</c:v>
                </c:pt>
                <c:pt idx="17">
                  <c:v>0.44900000000000001</c:v>
                </c:pt>
                <c:pt idx="18">
                  <c:v>0.44900000000000001</c:v>
                </c:pt>
                <c:pt idx="19">
                  <c:v>0.46100000000000002</c:v>
                </c:pt>
                <c:pt idx="20">
                  <c:v>0.46100000000000002</c:v>
                </c:pt>
                <c:pt idx="21">
                  <c:v>0.47499999999999998</c:v>
                </c:pt>
                <c:pt idx="22">
                  <c:v>0.47499999999999998</c:v>
                </c:pt>
                <c:pt idx="23">
                  <c:v>0.53700000000000003</c:v>
                </c:pt>
                <c:pt idx="24">
                  <c:v>0.53700000000000003</c:v>
                </c:pt>
                <c:pt idx="25">
                  <c:v>0.53800000000000003</c:v>
                </c:pt>
                <c:pt idx="26">
                  <c:v>0.53800000000000003</c:v>
                </c:pt>
                <c:pt idx="27">
                  <c:v>0.63200000000000001</c:v>
                </c:pt>
                <c:pt idx="28">
                  <c:v>0.63200000000000001</c:v>
                </c:pt>
                <c:pt idx="29">
                  <c:v>0.63400000000000001</c:v>
                </c:pt>
                <c:pt idx="30">
                  <c:v>0.63400000000000001</c:v>
                </c:pt>
                <c:pt idx="31">
                  <c:v>0.64400000000000002</c:v>
                </c:pt>
                <c:pt idx="32">
                  <c:v>0.64400000000000002</c:v>
                </c:pt>
                <c:pt idx="33">
                  <c:v>0.66400000000000003</c:v>
                </c:pt>
                <c:pt idx="34">
                  <c:v>0.66400000000000003</c:v>
                </c:pt>
                <c:pt idx="35">
                  <c:v>0.66900000000000004</c:v>
                </c:pt>
                <c:pt idx="36">
                  <c:v>0.66900000000000004</c:v>
                </c:pt>
                <c:pt idx="37">
                  <c:v>0.70199999999999996</c:v>
                </c:pt>
                <c:pt idx="38">
                  <c:v>0.70199999999999996</c:v>
                </c:pt>
                <c:pt idx="39">
                  <c:v>0.71099999999999997</c:v>
                </c:pt>
                <c:pt idx="40">
                  <c:v>0.71099999999999997</c:v>
                </c:pt>
                <c:pt idx="41">
                  <c:v>0.71899999999999997</c:v>
                </c:pt>
                <c:pt idx="42">
                  <c:v>0.71899999999999997</c:v>
                </c:pt>
                <c:pt idx="43">
                  <c:v>0.76200000000000001</c:v>
                </c:pt>
                <c:pt idx="44">
                  <c:v>0.76200000000000001</c:v>
                </c:pt>
                <c:pt idx="45">
                  <c:v>0.76800000000000002</c:v>
                </c:pt>
                <c:pt idx="46">
                  <c:v>0.76800000000000002</c:v>
                </c:pt>
                <c:pt idx="47">
                  <c:v>0.78</c:v>
                </c:pt>
                <c:pt idx="48">
                  <c:v>0.78</c:v>
                </c:pt>
                <c:pt idx="49">
                  <c:v>0.78700000000000003</c:v>
                </c:pt>
                <c:pt idx="50">
                  <c:v>0.78700000000000003</c:v>
                </c:pt>
                <c:pt idx="51">
                  <c:v>0.84899999999999998</c:v>
                </c:pt>
                <c:pt idx="52">
                  <c:v>0.84899999999999998</c:v>
                </c:pt>
                <c:pt idx="53">
                  <c:v>0.86399999999999999</c:v>
                </c:pt>
                <c:pt idx="54">
                  <c:v>0.86399999999999999</c:v>
                </c:pt>
                <c:pt idx="55">
                  <c:v>0.873</c:v>
                </c:pt>
                <c:pt idx="56">
                  <c:v>0.873</c:v>
                </c:pt>
                <c:pt idx="57">
                  <c:v>0.879</c:v>
                </c:pt>
                <c:pt idx="58">
                  <c:v>0.879</c:v>
                </c:pt>
                <c:pt idx="59">
                  <c:v>0.94699999999999995</c:v>
                </c:pt>
                <c:pt idx="60">
                  <c:v>0.94699999999999995</c:v>
                </c:pt>
                <c:pt idx="61">
                  <c:v>1</c:v>
                </c:pt>
              </c:numCache>
            </c:numRef>
          </c:xVal>
          <c:yVal>
            <c:numRef>
              <c:f>'Tasks 3,4'!$E$2:$E$63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3.3333333333333333E-2</c:v>
                </c:pt>
                <c:pt idx="3">
                  <c:v>3.3333333333333333E-2</c:v>
                </c:pt>
                <c:pt idx="4">
                  <c:v>6.6666666666666666E-2</c:v>
                </c:pt>
                <c:pt idx="5">
                  <c:v>6.6666666666666666E-2</c:v>
                </c:pt>
                <c:pt idx="6">
                  <c:v>0.1</c:v>
                </c:pt>
                <c:pt idx="7">
                  <c:v>0.1</c:v>
                </c:pt>
                <c:pt idx="8">
                  <c:v>0.13333333333333333</c:v>
                </c:pt>
                <c:pt idx="9">
                  <c:v>0.13333333333333333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0.2</c:v>
                </c:pt>
                <c:pt idx="13">
                  <c:v>0.2</c:v>
                </c:pt>
                <c:pt idx="14">
                  <c:v>0.23333333333333334</c:v>
                </c:pt>
                <c:pt idx="15">
                  <c:v>0.23333333333333334</c:v>
                </c:pt>
                <c:pt idx="16">
                  <c:v>0.26666666666666666</c:v>
                </c:pt>
                <c:pt idx="17">
                  <c:v>0.26666666666666666</c:v>
                </c:pt>
                <c:pt idx="18">
                  <c:v>0.3</c:v>
                </c:pt>
                <c:pt idx="19">
                  <c:v>0.3</c:v>
                </c:pt>
                <c:pt idx="20">
                  <c:v>0.33333333333333331</c:v>
                </c:pt>
                <c:pt idx="21">
                  <c:v>0.33333333333333331</c:v>
                </c:pt>
                <c:pt idx="22">
                  <c:v>0.36666666666666664</c:v>
                </c:pt>
                <c:pt idx="23">
                  <c:v>0.36666666666666664</c:v>
                </c:pt>
                <c:pt idx="24">
                  <c:v>0.4</c:v>
                </c:pt>
                <c:pt idx="25">
                  <c:v>0.4</c:v>
                </c:pt>
                <c:pt idx="26">
                  <c:v>0.43333333333333335</c:v>
                </c:pt>
                <c:pt idx="27">
                  <c:v>0.43333333333333335</c:v>
                </c:pt>
                <c:pt idx="28">
                  <c:v>0.46666666666666667</c:v>
                </c:pt>
                <c:pt idx="29">
                  <c:v>0.46666666666666667</c:v>
                </c:pt>
                <c:pt idx="30">
                  <c:v>0.5</c:v>
                </c:pt>
                <c:pt idx="31">
                  <c:v>0.5</c:v>
                </c:pt>
                <c:pt idx="32">
                  <c:v>0.53333333333333333</c:v>
                </c:pt>
                <c:pt idx="33">
                  <c:v>0.53333333333333333</c:v>
                </c:pt>
                <c:pt idx="34">
                  <c:v>0.56666666666666665</c:v>
                </c:pt>
                <c:pt idx="35">
                  <c:v>0.56666666666666665</c:v>
                </c:pt>
                <c:pt idx="36">
                  <c:v>0.6</c:v>
                </c:pt>
                <c:pt idx="37">
                  <c:v>0.6</c:v>
                </c:pt>
                <c:pt idx="38">
                  <c:v>0.6333333333333333</c:v>
                </c:pt>
                <c:pt idx="39">
                  <c:v>0.6333333333333333</c:v>
                </c:pt>
                <c:pt idx="40">
                  <c:v>0.66666666666666663</c:v>
                </c:pt>
                <c:pt idx="41">
                  <c:v>0.66666666666666663</c:v>
                </c:pt>
                <c:pt idx="42">
                  <c:v>0.7</c:v>
                </c:pt>
                <c:pt idx="43">
                  <c:v>0.7</c:v>
                </c:pt>
                <c:pt idx="44">
                  <c:v>0.73333333333333328</c:v>
                </c:pt>
                <c:pt idx="45">
                  <c:v>0.73333333333333328</c:v>
                </c:pt>
                <c:pt idx="46">
                  <c:v>0.76666666666666672</c:v>
                </c:pt>
                <c:pt idx="47">
                  <c:v>0.76666666666666672</c:v>
                </c:pt>
                <c:pt idx="48">
                  <c:v>0.8</c:v>
                </c:pt>
                <c:pt idx="49">
                  <c:v>0.8</c:v>
                </c:pt>
                <c:pt idx="50">
                  <c:v>0.83333333333333337</c:v>
                </c:pt>
                <c:pt idx="51">
                  <c:v>0.83333333333333337</c:v>
                </c:pt>
                <c:pt idx="52">
                  <c:v>0.8666666666666667</c:v>
                </c:pt>
                <c:pt idx="53">
                  <c:v>0.8666666666666667</c:v>
                </c:pt>
                <c:pt idx="54">
                  <c:v>0.9</c:v>
                </c:pt>
                <c:pt idx="55">
                  <c:v>0.9</c:v>
                </c:pt>
                <c:pt idx="56">
                  <c:v>0.93333333333333335</c:v>
                </c:pt>
                <c:pt idx="57">
                  <c:v>0.93333333333333335</c:v>
                </c:pt>
                <c:pt idx="58">
                  <c:v>0.96666666666666667</c:v>
                </c:pt>
                <c:pt idx="59">
                  <c:v>0.96666666666666667</c:v>
                </c:pt>
                <c:pt idx="60">
                  <c:v>1</c:v>
                </c:pt>
                <c:pt idx="6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B-4CCE-9B87-B62201DE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198720"/>
        <c:axId val="795195768"/>
      </c:scatterChart>
      <c:valAx>
        <c:axId val="79519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5195768"/>
        <c:crosses val="autoZero"/>
        <c:crossBetween val="midCat"/>
      </c:valAx>
      <c:valAx>
        <c:axId val="795195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519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604630</xdr:colOff>
      <xdr:row>0</xdr:row>
      <xdr:rowOff>185530</xdr:rowOff>
    </xdr:from>
    <xdr:to>
      <xdr:col>20</xdr:col>
      <xdr:colOff>378237</xdr:colOff>
      <xdr:row>29</xdr:row>
      <xdr:rowOff>41412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30BD867-F7B7-44D7-914B-C1A46D1AD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zoomScale="115" zoomScaleNormal="115" workbookViewId="0">
      <selection activeCell="E29" sqref="E29"/>
    </sheetView>
  </sheetViews>
  <sheetFormatPr defaultColWidth="9.1328125" defaultRowHeight="13.9" x14ac:dyDescent="0.4"/>
  <cols>
    <col min="1" max="1" width="13.265625" style="2" customWidth="1"/>
    <col min="2" max="2" width="10.86328125" style="7" customWidth="1"/>
    <col min="3" max="3" width="10.86328125" style="9" customWidth="1"/>
    <col min="4" max="4" width="7.46484375" style="1" customWidth="1"/>
    <col min="5" max="5" width="12.265625" style="1" customWidth="1"/>
    <col min="6" max="6" width="13.265625" style="1" customWidth="1"/>
    <col min="7" max="7" width="10.86328125" style="1" customWidth="1"/>
    <col min="8" max="8" width="12.1328125" style="1" bestFit="1" customWidth="1"/>
    <col min="9" max="9" width="12" style="1" bestFit="1" customWidth="1"/>
    <col min="10" max="10" width="10.59765625" style="1" customWidth="1"/>
    <col min="11" max="11" width="12.1328125" style="1" bestFit="1" customWidth="1"/>
    <col min="12" max="12" width="18.59765625" style="1" customWidth="1"/>
    <col min="13" max="15" width="12" style="1" bestFit="1" customWidth="1"/>
    <col min="16" max="16384" width="9.1328125" style="1"/>
  </cols>
  <sheetData>
    <row r="1" spans="1:13" x14ac:dyDescent="0.4">
      <c r="A1" s="2" t="s">
        <v>4</v>
      </c>
      <c r="B1" s="9" t="s">
        <v>16</v>
      </c>
    </row>
    <row r="2" spans="1:13" x14ac:dyDescent="0.4">
      <c r="A2" s="5">
        <v>0.72299999999999998</v>
      </c>
      <c r="B2" s="8">
        <f>(A2-$D$3)*(A2-$D$3)</f>
        <v>7.6729000000000019E-2</v>
      </c>
      <c r="C2" s="10"/>
      <c r="D2" s="11" t="s">
        <v>14</v>
      </c>
      <c r="E2" s="11" t="s">
        <v>0</v>
      </c>
      <c r="F2" s="12" t="s">
        <v>1</v>
      </c>
      <c r="G2" s="13" t="s">
        <v>2</v>
      </c>
    </row>
    <row r="3" spans="1:13" x14ac:dyDescent="0.4">
      <c r="A3" s="6">
        <v>1.9139999999999999</v>
      </c>
      <c r="B3" s="8">
        <f t="shared" ref="B3:B51" si="0">(A3-$D$3)*(A3-$D$3)</f>
        <v>0.83539599999999981</v>
      </c>
      <c r="C3" s="10"/>
      <c r="D3" s="12">
        <v>1</v>
      </c>
      <c r="E3" s="12">
        <v>0.5</v>
      </c>
      <c r="F3" s="12">
        <v>0.13</v>
      </c>
      <c r="G3" s="14">
        <f>COUNT(A2:A51)</f>
        <v>50</v>
      </c>
    </row>
    <row r="4" spans="1:13" x14ac:dyDescent="0.4">
      <c r="A4" s="6">
        <v>9.6000000000000002E-2</v>
      </c>
      <c r="B4" s="8">
        <f t="shared" si="0"/>
        <v>0.81721600000000005</v>
      </c>
      <c r="C4" s="10"/>
      <c r="D4" s="52" t="s">
        <v>31</v>
      </c>
      <c r="E4" s="52"/>
      <c r="F4" s="52"/>
      <c r="G4" s="52"/>
      <c r="H4" s="52"/>
      <c r="I4" s="52"/>
      <c r="J4" s="52"/>
      <c r="K4" s="52"/>
      <c r="L4" s="52"/>
      <c r="M4" s="52"/>
    </row>
    <row r="5" spans="1:13" ht="15.4" x14ac:dyDescent="0.45">
      <c r="A5" s="6">
        <v>1.718</v>
      </c>
      <c r="B5" s="8">
        <f t="shared" si="0"/>
        <v>0.51552399999999998</v>
      </c>
      <c r="C5" s="10"/>
      <c r="D5" s="15" t="s">
        <v>3</v>
      </c>
      <c r="E5" s="16" t="s">
        <v>5</v>
      </c>
      <c r="F5" s="16" t="s">
        <v>6</v>
      </c>
      <c r="G5" s="16" t="s">
        <v>8</v>
      </c>
      <c r="H5" s="16" t="s">
        <v>11</v>
      </c>
      <c r="I5" s="16" t="s">
        <v>15</v>
      </c>
      <c r="J5" s="16" t="s">
        <v>17</v>
      </c>
      <c r="K5" s="16" t="s">
        <v>18</v>
      </c>
      <c r="L5" s="16" t="s">
        <v>20</v>
      </c>
      <c r="M5" s="16" t="s">
        <v>21</v>
      </c>
    </row>
    <row r="6" spans="1:13" x14ac:dyDescent="0.4">
      <c r="A6" s="6">
        <v>1.593</v>
      </c>
      <c r="B6" s="8">
        <f t="shared" si="0"/>
        <v>0.35164899999999999</v>
      </c>
      <c r="C6" s="10"/>
      <c r="D6" s="17">
        <f>AVERAGE(A2:A51)</f>
        <v>1.0342399999999998</v>
      </c>
      <c r="E6" s="17">
        <f>SUMSQ(A2:A51) / G3</f>
        <v>1.7772830000000002</v>
      </c>
      <c r="F6" s="17">
        <f>E6-D6*D6</f>
        <v>0.70763062240000063</v>
      </c>
      <c r="G6" s="16">
        <f>NORMSINV(1-F3/2)</f>
        <v>1.5141018876192844</v>
      </c>
      <c r="H6" s="16">
        <f>_xlfn.T.INV(1-F3/2,G3-1)</f>
        <v>1.5399751888176216</v>
      </c>
      <c r="I6" s="18">
        <f>SUM(B2:B51)</f>
        <v>35.440150000000003</v>
      </c>
      <c r="J6" s="16">
        <f>_xlfn.CHISQ.INV(F3/2,G3)</f>
        <v>35.798125223725265</v>
      </c>
      <c r="K6" s="16">
        <f>_xlfn.CHISQ.INV(1-F3/2,G3)</f>
        <v>65.922033745240597</v>
      </c>
      <c r="L6" s="16">
        <f>_xlfn.CHISQ.INV(F3/2,G3-1)</f>
        <v>34.951066954139058</v>
      </c>
      <c r="M6" s="16">
        <f>_xlfn.CHISQ.INV(1-F3/2,G3-1)</f>
        <v>64.769025911127557</v>
      </c>
    </row>
    <row r="7" spans="1:13" x14ac:dyDescent="0.4">
      <c r="A7" s="6">
        <v>1.579</v>
      </c>
      <c r="B7" s="8">
        <f t="shared" si="0"/>
        <v>0.33524099999999996</v>
      </c>
      <c r="C7" s="10"/>
    </row>
    <row r="8" spans="1:13" x14ac:dyDescent="0.4">
      <c r="A8" s="6">
        <v>-0.14399999999999999</v>
      </c>
      <c r="B8" s="8">
        <f t="shared" si="0"/>
        <v>1.3087359999999997</v>
      </c>
      <c r="C8" s="10"/>
      <c r="D8" s="4" t="s">
        <v>7</v>
      </c>
      <c r="E8" s="44">
        <f>D6-G6*SQRT(E3/G3)</f>
        <v>0.88282981123807136</v>
      </c>
      <c r="F8" s="45" t="s">
        <v>9</v>
      </c>
      <c r="G8" s="45">
        <f>D6+G6*SQRT(E3/G3)</f>
        <v>1.1856501887619282</v>
      </c>
    </row>
    <row r="9" spans="1:13" x14ac:dyDescent="0.4">
      <c r="A9" s="6">
        <v>1.0369999999999999</v>
      </c>
      <c r="B9" s="8">
        <f t="shared" si="0"/>
        <v>1.3689999999999941E-3</v>
      </c>
      <c r="C9" s="10"/>
      <c r="E9" s="19"/>
    </row>
    <row r="10" spans="1:13" x14ac:dyDescent="0.4">
      <c r="A10" s="6">
        <v>1.774</v>
      </c>
      <c r="B10" s="8">
        <f t="shared" si="0"/>
        <v>0.59907600000000005</v>
      </c>
      <c r="C10" s="10"/>
      <c r="D10" s="4" t="s">
        <v>10</v>
      </c>
      <c r="E10" s="44">
        <f>D6-H6*SQRT(F6/(G3-1))</f>
        <v>0.84917725782694187</v>
      </c>
      <c r="F10" s="45" t="s">
        <v>9</v>
      </c>
      <c r="G10" s="45">
        <f>D6+H6*SQRT(F6/(G3-1))</f>
        <v>1.2193027421730578</v>
      </c>
    </row>
    <row r="11" spans="1:13" x14ac:dyDescent="0.4">
      <c r="A11" s="6">
        <v>1.778</v>
      </c>
      <c r="B11" s="8">
        <f t="shared" si="0"/>
        <v>0.60528400000000004</v>
      </c>
      <c r="C11" s="10"/>
      <c r="E11" s="19"/>
    </row>
    <row r="12" spans="1:13" x14ac:dyDescent="0.4">
      <c r="A12" s="6">
        <v>0.45700000000000002</v>
      </c>
      <c r="B12" s="8">
        <f t="shared" si="0"/>
        <v>0.29484899999999992</v>
      </c>
      <c r="C12" s="10"/>
      <c r="D12" s="4" t="s">
        <v>12</v>
      </c>
      <c r="E12" s="44">
        <f>I6/K6</f>
        <v>0.53760704860776065</v>
      </c>
      <c r="F12" s="45" t="s">
        <v>13</v>
      </c>
      <c r="G12" s="45">
        <f>I6/J6</f>
        <v>0.99000016840300864</v>
      </c>
    </row>
    <row r="13" spans="1:13" x14ac:dyDescent="0.4">
      <c r="A13" s="6">
        <v>0.58499999999999996</v>
      </c>
      <c r="B13" s="8">
        <f t="shared" si="0"/>
        <v>0.17222500000000002</v>
      </c>
      <c r="C13" s="10"/>
      <c r="E13" s="19"/>
    </row>
    <row r="14" spans="1:13" x14ac:dyDescent="0.4">
      <c r="A14" s="6">
        <v>2.1819999999999999</v>
      </c>
      <c r="B14" s="8">
        <f t="shared" si="0"/>
        <v>1.3971239999999998</v>
      </c>
      <c r="C14" s="10"/>
      <c r="D14" s="4" t="s">
        <v>19</v>
      </c>
      <c r="E14" s="44">
        <f>G3*F6/M6</f>
        <v>0.54627239829959151</v>
      </c>
      <c r="F14" s="45" t="s">
        <v>13</v>
      </c>
      <c r="G14" s="45">
        <f>G3*F6/L6</f>
        <v>1.0123161952802702</v>
      </c>
    </row>
    <row r="15" spans="1:13" x14ac:dyDescent="0.4">
      <c r="A15" s="6">
        <v>1.2869999999999999</v>
      </c>
      <c r="B15" s="8">
        <f t="shared" si="0"/>
        <v>8.2368999999999956E-2</v>
      </c>
      <c r="C15" s="10"/>
    </row>
    <row r="16" spans="1:13" x14ac:dyDescent="0.4">
      <c r="A16" s="6">
        <v>0.67300000000000004</v>
      </c>
      <c r="B16" s="8">
        <f t="shared" si="0"/>
        <v>0.10692899999999997</v>
      </c>
      <c r="C16" s="10"/>
    </row>
    <row r="17" spans="1:16" x14ac:dyDescent="0.4">
      <c r="A17" s="6">
        <v>5.5E-2</v>
      </c>
      <c r="B17" s="8">
        <f t="shared" si="0"/>
        <v>0.89302499999999996</v>
      </c>
      <c r="C17" s="10"/>
    </row>
    <row r="18" spans="1:16" x14ac:dyDescent="0.4">
      <c r="A18" s="6">
        <v>1.901</v>
      </c>
      <c r="B18" s="8">
        <f t="shared" si="0"/>
        <v>0.81180099999999999</v>
      </c>
      <c r="C18" s="10"/>
      <c r="D18" s="52" t="s">
        <v>32</v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 spans="1:16" x14ac:dyDescent="0.4">
      <c r="A19" s="6">
        <v>0.41199999999999998</v>
      </c>
      <c r="B19" s="8">
        <f t="shared" si="0"/>
        <v>0.34574400000000011</v>
      </c>
      <c r="C19" s="10"/>
      <c r="D19" s="16" t="s">
        <v>22</v>
      </c>
      <c r="E19" s="16" t="s">
        <v>23</v>
      </c>
      <c r="F19" s="16" t="s">
        <v>24</v>
      </c>
      <c r="G19" s="16" t="s">
        <v>25</v>
      </c>
      <c r="H19" s="16" t="s">
        <v>26</v>
      </c>
      <c r="I19" s="16" t="s">
        <v>27</v>
      </c>
      <c r="J19" s="16" t="s">
        <v>28</v>
      </c>
      <c r="K19" s="16" t="s">
        <v>29</v>
      </c>
      <c r="L19" s="16" t="s">
        <v>58</v>
      </c>
      <c r="M19" s="16" t="s">
        <v>8</v>
      </c>
      <c r="N19" s="16" t="s">
        <v>11</v>
      </c>
      <c r="O19" s="16" t="s">
        <v>30</v>
      </c>
      <c r="P19" s="16" t="s">
        <v>59</v>
      </c>
    </row>
    <row r="20" spans="1:16" x14ac:dyDescent="0.4">
      <c r="A20" s="6">
        <v>1.119</v>
      </c>
      <c r="B20" s="8">
        <f t="shared" si="0"/>
        <v>1.4160999999999998E-2</v>
      </c>
      <c r="C20" s="10"/>
      <c r="D20" s="16">
        <f>COUNT(A2:A21)</f>
        <v>20</v>
      </c>
      <c r="E20" s="16">
        <f>COUNT(A22:A51)</f>
        <v>30</v>
      </c>
      <c r="F20" s="18">
        <f>AVERAGE(A2:A21)</f>
        <v>1.0246500000000001</v>
      </c>
      <c r="G20" s="16">
        <f>AVERAGE(A22:A51)</f>
        <v>1.0406333333333333</v>
      </c>
      <c r="H20" s="16">
        <f>SUMSQ(A2:A21) / D20</f>
        <v>1.6051481500000002</v>
      </c>
      <c r="I20" s="16">
        <f>SUMSQ(A22:A51) / E20</f>
        <v>1.8920395666666669</v>
      </c>
      <c r="J20" s="16">
        <f>H20-F20*F20</f>
        <v>0.55524052750000008</v>
      </c>
      <c r="K20" s="16">
        <f>I20-G20*G20</f>
        <v>0.80912183222222267</v>
      </c>
      <c r="L20" s="16">
        <f>ROUND((D20*(E20-1)*J20)/(E20*(D20-1)*K20),5)</f>
        <v>0.69826999999999995</v>
      </c>
      <c r="M20" s="16">
        <f>_xlfn.F.INV(F3/2,D20-1,E20-1)</f>
        <v>0.51087832236684871</v>
      </c>
      <c r="N20" s="16">
        <f>_xlfn.F.INV(1-F3/2,D20-1,E20-1)</f>
        <v>1.8550237184499012</v>
      </c>
      <c r="O20" s="16">
        <f>_xlfn.T.INV(1-F3/2,D20+E20-2)</f>
        <v>1.5405236634988</v>
      </c>
      <c r="P20" s="16">
        <f>ABS(((F20-G20)*SQRT(D20*E20))/(SQRT(D20+E20)*SQRT((D20*J20+E20*K20)/(D20+E20-2))))</f>
        <v>6.4492483676173856E-2</v>
      </c>
    </row>
    <row r="21" spans="1:16" x14ac:dyDescent="0.4">
      <c r="A21" s="6">
        <v>-0.246</v>
      </c>
      <c r="B21" s="8">
        <f t="shared" si="0"/>
        <v>1.552516</v>
      </c>
      <c r="C21" s="10"/>
    </row>
    <row r="22" spans="1:16" x14ac:dyDescent="0.4">
      <c r="A22" s="3">
        <v>0.92900000000000005</v>
      </c>
      <c r="B22" s="8">
        <f t="shared" si="0"/>
        <v>5.0409999999999934E-3</v>
      </c>
      <c r="C22" s="10"/>
    </row>
    <row r="23" spans="1:16" x14ac:dyDescent="0.4">
      <c r="A23" s="3">
        <v>2.2149999999999999</v>
      </c>
      <c r="B23" s="8">
        <f t="shared" si="0"/>
        <v>1.4762249999999997</v>
      </c>
      <c r="C23" s="10"/>
      <c r="D23" s="4" t="s">
        <v>7</v>
      </c>
      <c r="E23" s="44">
        <f>M20</f>
        <v>0.51087832236684871</v>
      </c>
      <c r="F23" s="45" t="str">
        <f>"&lt; " &amp; L20 &amp; " &lt;"</f>
        <v>&lt; 0,69827 &lt;</v>
      </c>
      <c r="G23" s="45">
        <f>N20</f>
        <v>1.8550237184499012</v>
      </c>
    </row>
    <row r="24" spans="1:16" x14ac:dyDescent="0.4">
      <c r="A24" s="3">
        <v>0.874</v>
      </c>
      <c r="B24" s="8">
        <f t="shared" si="0"/>
        <v>1.5876000000000001E-2</v>
      </c>
      <c r="C24" s="10"/>
      <c r="E24" s="50" t="s">
        <v>60</v>
      </c>
      <c r="F24" s="50"/>
      <c r="G24" s="50"/>
    </row>
    <row r="25" spans="1:16" x14ac:dyDescent="0.4">
      <c r="A25" s="3">
        <v>1.8240000000000001</v>
      </c>
      <c r="B25" s="8">
        <f t="shared" si="0"/>
        <v>0.67897600000000013</v>
      </c>
      <c r="C25" s="10"/>
    </row>
    <row r="26" spans="1:16" x14ac:dyDescent="0.4">
      <c r="A26" s="3">
        <v>1.411</v>
      </c>
      <c r="B26" s="8">
        <f t="shared" si="0"/>
        <v>0.16892100000000002</v>
      </c>
      <c r="C26" s="10"/>
      <c r="D26" s="4" t="s">
        <v>10</v>
      </c>
      <c r="E26" s="49"/>
      <c r="F26" s="47" t="str">
        <f>ROUND(P20,5) &amp; " &lt;"</f>
        <v>0,06449 &lt;</v>
      </c>
      <c r="G26" s="46">
        <f>O20</f>
        <v>1.5405236634988</v>
      </c>
    </row>
    <row r="27" spans="1:16" x14ac:dyDescent="0.4">
      <c r="A27" s="3">
        <v>0.878</v>
      </c>
      <c r="B27" s="8">
        <f t="shared" si="0"/>
        <v>1.4884E-2</v>
      </c>
      <c r="C27" s="10"/>
      <c r="E27" s="51" t="s">
        <v>61</v>
      </c>
      <c r="F27" s="50"/>
      <c r="G27" s="50"/>
    </row>
    <row r="28" spans="1:16" x14ac:dyDescent="0.4">
      <c r="A28" s="3">
        <v>0.55100000000000005</v>
      </c>
      <c r="B28" s="8">
        <f t="shared" si="0"/>
        <v>0.20160099999999995</v>
      </c>
      <c r="C28" s="10"/>
    </row>
    <row r="29" spans="1:16" x14ac:dyDescent="0.4">
      <c r="A29" s="3">
        <v>2.8980000000000001</v>
      </c>
      <c r="B29" s="8">
        <f t="shared" si="0"/>
        <v>3.6024040000000004</v>
      </c>
      <c r="C29" s="10"/>
    </row>
    <row r="30" spans="1:16" x14ac:dyDescent="0.4">
      <c r="A30" s="3">
        <v>0.28399999999999997</v>
      </c>
      <c r="B30" s="8">
        <f t="shared" si="0"/>
        <v>0.512656</v>
      </c>
      <c r="C30" s="10"/>
    </row>
    <row r="31" spans="1:16" x14ac:dyDescent="0.4">
      <c r="A31" s="3">
        <v>7.5999999999999998E-2</v>
      </c>
      <c r="B31" s="8">
        <f t="shared" si="0"/>
        <v>0.85377600000000009</v>
      </c>
      <c r="C31" s="10"/>
    </row>
    <row r="32" spans="1:16" x14ac:dyDescent="0.4">
      <c r="A32" s="3">
        <v>0.76300000000000001</v>
      </c>
      <c r="B32" s="8">
        <f t="shared" si="0"/>
        <v>5.6168999999999997E-2</v>
      </c>
      <c r="C32" s="10"/>
    </row>
    <row r="33" spans="1:3" x14ac:dyDescent="0.4">
      <c r="A33" s="3">
        <v>1.7509999999999999</v>
      </c>
      <c r="B33" s="8">
        <f t="shared" si="0"/>
        <v>0.56400099999999986</v>
      </c>
      <c r="C33" s="10"/>
    </row>
    <row r="34" spans="1:3" x14ac:dyDescent="0.4">
      <c r="A34" s="3">
        <v>0.61</v>
      </c>
      <c r="B34" s="8">
        <f t="shared" si="0"/>
        <v>0.15210000000000001</v>
      </c>
      <c r="C34" s="10"/>
    </row>
    <row r="35" spans="1:3" x14ac:dyDescent="0.4">
      <c r="A35" s="3">
        <v>1.34</v>
      </c>
      <c r="B35" s="8">
        <f t="shared" si="0"/>
        <v>0.11560000000000005</v>
      </c>
      <c r="C35" s="10"/>
    </row>
    <row r="36" spans="1:3" x14ac:dyDescent="0.4">
      <c r="A36" s="3">
        <v>0.59099999999999997</v>
      </c>
      <c r="B36" s="8">
        <f t="shared" si="0"/>
        <v>0.16728100000000001</v>
      </c>
      <c r="C36" s="10"/>
    </row>
    <row r="37" spans="1:3" x14ac:dyDescent="0.4">
      <c r="A37" s="3">
        <v>0.83199999999999996</v>
      </c>
      <c r="B37" s="8">
        <f t="shared" si="0"/>
        <v>2.8224000000000013E-2</v>
      </c>
      <c r="C37" s="10"/>
    </row>
    <row r="38" spans="1:3" x14ac:dyDescent="0.4">
      <c r="A38" s="3">
        <v>2.0830000000000002</v>
      </c>
      <c r="B38" s="8">
        <f t="shared" si="0"/>
        <v>1.1728890000000003</v>
      </c>
      <c r="C38" s="10"/>
    </row>
    <row r="39" spans="1:3" x14ac:dyDescent="0.4">
      <c r="A39" s="3">
        <v>2.5259999999999998</v>
      </c>
      <c r="B39" s="8">
        <f t="shared" si="0"/>
        <v>2.3286759999999993</v>
      </c>
      <c r="C39" s="10"/>
    </row>
    <row r="40" spans="1:3" x14ac:dyDescent="0.4">
      <c r="A40" s="3">
        <v>2.4849999999999999</v>
      </c>
      <c r="B40" s="8">
        <f t="shared" si="0"/>
        <v>2.2052249999999995</v>
      </c>
      <c r="C40" s="10"/>
    </row>
    <row r="41" spans="1:3" x14ac:dyDescent="0.4">
      <c r="A41" s="3">
        <v>0.755</v>
      </c>
      <c r="B41" s="8">
        <f t="shared" si="0"/>
        <v>6.0024999999999995E-2</v>
      </c>
      <c r="C41" s="10"/>
    </row>
    <row r="42" spans="1:3" x14ac:dyDescent="0.4">
      <c r="A42" s="3">
        <v>-0.19500000000000001</v>
      </c>
      <c r="B42" s="8">
        <f t="shared" si="0"/>
        <v>1.4280250000000001</v>
      </c>
      <c r="C42" s="10"/>
    </row>
    <row r="43" spans="1:3" x14ac:dyDescent="0.4">
      <c r="A43" s="3">
        <v>1.1839999999999999</v>
      </c>
      <c r="B43" s="8">
        <f t="shared" si="0"/>
        <v>3.3855999999999976E-2</v>
      </c>
      <c r="C43" s="10"/>
    </row>
    <row r="44" spans="1:3" x14ac:dyDescent="0.4">
      <c r="A44" s="3">
        <v>0.626</v>
      </c>
      <c r="B44" s="8">
        <f t="shared" si="0"/>
        <v>0.139876</v>
      </c>
      <c r="C44" s="10"/>
    </row>
    <row r="45" spans="1:3" x14ac:dyDescent="0.4">
      <c r="A45" s="3">
        <v>2.13</v>
      </c>
      <c r="B45" s="8">
        <f t="shared" si="0"/>
        <v>1.2768999999999997</v>
      </c>
      <c r="C45" s="10"/>
    </row>
    <row r="46" spans="1:3" x14ac:dyDescent="0.4">
      <c r="A46" s="3">
        <v>1.1220000000000001</v>
      </c>
      <c r="B46" s="8">
        <f t="shared" si="0"/>
        <v>1.4884000000000026E-2</v>
      </c>
      <c r="C46" s="10"/>
    </row>
    <row r="47" spans="1:3" x14ac:dyDescent="0.4">
      <c r="A47" s="3">
        <v>1.6020000000000001</v>
      </c>
      <c r="B47" s="8">
        <f t="shared" si="0"/>
        <v>0.36240400000000011</v>
      </c>
      <c r="C47" s="10"/>
    </row>
    <row r="48" spans="1:3" x14ac:dyDescent="0.4">
      <c r="A48" s="3">
        <v>0.221</v>
      </c>
      <c r="B48" s="8">
        <f t="shared" si="0"/>
        <v>0.60684100000000007</v>
      </c>
      <c r="C48" s="10"/>
    </row>
    <row r="49" spans="1:3" x14ac:dyDescent="0.4">
      <c r="A49" s="3">
        <v>-0.85899999999999999</v>
      </c>
      <c r="B49" s="8">
        <f t="shared" si="0"/>
        <v>3.4558809999999998</v>
      </c>
      <c r="C49" s="10"/>
    </row>
    <row r="50" spans="1:3" x14ac:dyDescent="0.4">
      <c r="A50" s="3">
        <v>-8.6999999999999994E-2</v>
      </c>
      <c r="B50" s="8">
        <f t="shared" si="0"/>
        <v>1.1815689999999999</v>
      </c>
      <c r="C50" s="10"/>
    </row>
    <row r="51" spans="1:3" x14ac:dyDescent="0.4">
      <c r="A51" s="3">
        <v>-0.20100000000000001</v>
      </c>
      <c r="B51" s="8">
        <f t="shared" si="0"/>
        <v>1.4424010000000003</v>
      </c>
      <c r="C51" s="10"/>
    </row>
  </sheetData>
  <mergeCells count="4">
    <mergeCell ref="E24:G24"/>
    <mergeCell ref="E27:G27"/>
    <mergeCell ref="D4:M4"/>
    <mergeCell ref="D18:P18"/>
  </mergeCells>
  <pageMargins left="0.7" right="0.7" top="0.75" bottom="0.75" header="0.3" footer="0.3"/>
  <pageSetup paperSize="9" orientation="portrait" r:id="rId1"/>
  <ignoredErrors>
    <ignoredError sqref="D20:E20 F20:I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633E-CDA5-404D-A48D-404145359017}">
  <dimension ref="A1:Y100"/>
  <sheetViews>
    <sheetView zoomScale="117" zoomScaleNormal="130" workbookViewId="0">
      <selection activeCell="R38" sqref="R38"/>
    </sheetView>
  </sheetViews>
  <sheetFormatPr defaultRowHeight="14.25" x14ac:dyDescent="0.45"/>
  <cols>
    <col min="1" max="1" width="10.59765625" style="20" customWidth="1"/>
    <col min="2" max="4" width="9.265625" style="20" bestFit="1" customWidth="1"/>
    <col min="5" max="5" width="12.1328125" style="20" bestFit="1" customWidth="1"/>
    <col min="7" max="7" width="11.59765625" customWidth="1"/>
    <col min="8" max="8" width="18.3984375" customWidth="1"/>
    <col min="9" max="9" width="10.265625" customWidth="1"/>
    <col min="10" max="10" width="10.73046875" customWidth="1"/>
    <col min="11" max="14" width="9.265625" bestFit="1" customWidth="1"/>
    <col min="15" max="16" width="12" bestFit="1" customWidth="1"/>
    <col min="17" max="17" width="12.265625" customWidth="1"/>
    <col min="18" max="18" width="12" bestFit="1" customWidth="1"/>
    <col min="22" max="22" width="10.3984375" customWidth="1"/>
    <col min="23" max="23" width="12" bestFit="1" customWidth="1"/>
    <col min="24" max="24" width="9.1328125" customWidth="1"/>
  </cols>
  <sheetData>
    <row r="1" spans="1:25" x14ac:dyDescent="0.45">
      <c r="A1" s="23" t="s">
        <v>33</v>
      </c>
      <c r="B1" s="24" t="s">
        <v>34</v>
      </c>
      <c r="C1" s="25" t="s">
        <v>35</v>
      </c>
      <c r="D1" s="20" t="s">
        <v>4</v>
      </c>
      <c r="E1" s="20" t="s">
        <v>36</v>
      </c>
      <c r="V1" s="22" t="s">
        <v>37</v>
      </c>
      <c r="W1" s="22" t="s">
        <v>38</v>
      </c>
      <c r="X1">
        <f>(-1)^(Y1)*EXP((-2) *( Y1^2)*($I$33^2))</f>
        <v>0</v>
      </c>
      <c r="Y1">
        <v>-50</v>
      </c>
    </row>
    <row r="2" spans="1:25" x14ac:dyDescent="0.45">
      <c r="A2" s="26">
        <v>9.1999999999999998E-2</v>
      </c>
      <c r="B2" s="27">
        <v>3.5000000000000003E-2</v>
      </c>
      <c r="C2" s="28">
        <f>(ROW()-ROW($B$2)+1)/COUNT($B$2:$B$31)</f>
        <v>3.3333333333333333E-2</v>
      </c>
      <c r="D2" s="48">
        <v>0</v>
      </c>
      <c r="E2" s="48">
        <v>0</v>
      </c>
      <c r="V2" s="22">
        <f>ABS(C2-B2)</f>
        <v>1.6666666666666705E-3</v>
      </c>
      <c r="W2" s="22">
        <f>B2</f>
        <v>3.5000000000000003E-2</v>
      </c>
      <c r="X2">
        <f t="shared" ref="X2:X65" si="0">(-1)^(Y2)*EXP((-2) *( Y2^2)*($I$33^2))</f>
        <v>0</v>
      </c>
      <c r="Y2">
        <v>-49</v>
      </c>
    </row>
    <row r="3" spans="1:25" x14ac:dyDescent="0.45">
      <c r="A3" s="26">
        <v>0.63200000000000001</v>
      </c>
      <c r="B3" s="27">
        <v>6.5000000000000002E-2</v>
      </c>
      <c r="C3" s="28">
        <f t="shared" ref="C3:C31" si="1">(ROW()-ROW($B$2)+1)/COUNT($B$2:$B$31)</f>
        <v>6.6666666666666666E-2</v>
      </c>
      <c r="D3" s="48" cm="1">
        <f t="array" ref="D3">INDEX($B$2:$B$31, INT((ROW()-3)/2)+1)</f>
        <v>3.5000000000000003E-2</v>
      </c>
      <c r="E3" s="48">
        <v>0</v>
      </c>
      <c r="V3" s="22">
        <f t="shared" ref="V3:V31" si="2">ABS(C3-B3)</f>
        <v>1.6666666666666635E-3</v>
      </c>
      <c r="W3" s="22">
        <f>ABS(B3-C2)</f>
        <v>3.1666666666666669E-2</v>
      </c>
      <c r="X3">
        <f t="shared" si="0"/>
        <v>0</v>
      </c>
      <c r="Y3">
        <v>-48</v>
      </c>
    </row>
    <row r="4" spans="1:25" x14ac:dyDescent="0.45">
      <c r="A4" s="26">
        <v>0.70199999999999996</v>
      </c>
      <c r="B4" s="27">
        <v>9.1999999999999998E-2</v>
      </c>
      <c r="C4" s="28">
        <f t="shared" si="1"/>
        <v>0.1</v>
      </c>
      <c r="D4" s="48" cm="1">
        <f t="array" ref="D4">INDEX($B$2:$B$31, INT((ROW()-3)/2)+1)</f>
        <v>3.5000000000000003E-2</v>
      </c>
      <c r="E4" s="48" cm="1">
        <f t="array" ref="E4">IF(MOD(ROW()-3,2)=1,INDEX($C$2:$C$31, (ROW()-3)/2+1),INDEX($C$2:$C$31, (ROW()-4)/2+1))</f>
        <v>3.3333333333333333E-2</v>
      </c>
      <c r="V4" s="22">
        <f t="shared" si="2"/>
        <v>8.0000000000000071E-3</v>
      </c>
      <c r="W4" s="22">
        <f t="shared" ref="W4:W31" si="3">ABS(B4-C3)</f>
        <v>2.5333333333333333E-2</v>
      </c>
      <c r="X4">
        <f t="shared" si="0"/>
        <v>0</v>
      </c>
      <c r="Y4">
        <v>-47</v>
      </c>
    </row>
    <row r="5" spans="1:25" x14ac:dyDescent="0.45">
      <c r="A5" s="26">
        <v>0.106</v>
      </c>
      <c r="B5" s="27">
        <v>0.106</v>
      </c>
      <c r="C5" s="28">
        <f t="shared" si="1"/>
        <v>0.13333333333333333</v>
      </c>
      <c r="D5" s="48" cm="1">
        <f t="array" ref="D5">INDEX($B$2:$B$31, INT((ROW()-3)/2)+1)</f>
        <v>6.5000000000000002E-2</v>
      </c>
      <c r="E5" s="48" cm="1">
        <f t="array" ref="E5">IF(MOD(ROW()-3,2)=1,INDEX($C$2:$C$31, (ROW()-3)/2+1),INDEX($C$2:$C$31, (ROW()-4)/2+1))</f>
        <v>3.3333333333333333E-2</v>
      </c>
      <c r="V5" s="22">
        <f t="shared" si="2"/>
        <v>2.7333333333333334E-2</v>
      </c>
      <c r="W5" s="22">
        <f t="shared" si="3"/>
        <v>5.9999999999999915E-3</v>
      </c>
      <c r="X5">
        <f t="shared" si="0"/>
        <v>0</v>
      </c>
      <c r="Y5">
        <v>-46</v>
      </c>
    </row>
    <row r="6" spans="1:25" x14ac:dyDescent="0.45">
      <c r="A6" s="26">
        <v>0.53800000000000003</v>
      </c>
      <c r="B6" s="27">
        <v>0.16300000000000001</v>
      </c>
      <c r="C6" s="28">
        <f t="shared" si="1"/>
        <v>0.16666666666666666</v>
      </c>
      <c r="D6" s="48" cm="1">
        <f t="array" ref="D6">INDEX($B$2:$B$31, INT((ROW()-3)/2)+1)</f>
        <v>6.5000000000000002E-2</v>
      </c>
      <c r="E6" s="48" cm="1">
        <f t="array" ref="E6">IF(MOD(ROW()-3,2)=1,INDEX($C$2:$C$31, (ROW()-3)/2+1),INDEX($C$2:$C$31, (ROW()-4)/2+1))</f>
        <v>6.6666666666666666E-2</v>
      </c>
      <c r="V6" s="22">
        <f t="shared" si="2"/>
        <v>3.6666666666666514E-3</v>
      </c>
      <c r="W6" s="22">
        <f t="shared" si="3"/>
        <v>2.9666666666666675E-2</v>
      </c>
      <c r="X6">
        <f t="shared" si="0"/>
        <v>0</v>
      </c>
      <c r="Y6">
        <v>-45</v>
      </c>
    </row>
    <row r="7" spans="1:25" x14ac:dyDescent="0.45">
      <c r="A7" s="26">
        <v>0.76200000000000001</v>
      </c>
      <c r="B7" s="27">
        <v>0.17499999999999999</v>
      </c>
      <c r="C7" s="28">
        <f t="shared" si="1"/>
        <v>0.2</v>
      </c>
      <c r="D7" s="48" cm="1">
        <f t="array" ref="D7">INDEX($B$2:$B$31, INT((ROW()-3)/2)+1)</f>
        <v>9.1999999999999998E-2</v>
      </c>
      <c r="E7" s="48" cm="1">
        <f t="array" ref="E7">IF(MOD(ROW()-3,2)=1,INDEX($C$2:$C$31, (ROW()-3)/2+1),INDEX($C$2:$C$31, (ROW()-4)/2+1))</f>
        <v>6.6666666666666666E-2</v>
      </c>
      <c r="V7" s="22">
        <f t="shared" si="2"/>
        <v>2.5000000000000022E-2</v>
      </c>
      <c r="W7" s="22">
        <f t="shared" si="3"/>
        <v>8.3333333333333315E-3</v>
      </c>
      <c r="X7">
        <f t="shared" si="0"/>
        <v>0</v>
      </c>
      <c r="Y7">
        <v>-44</v>
      </c>
    </row>
    <row r="8" spans="1:25" x14ac:dyDescent="0.45">
      <c r="A8" s="26">
        <v>0.44900000000000001</v>
      </c>
      <c r="B8" s="27">
        <v>0.36399999999999999</v>
      </c>
      <c r="C8" s="28">
        <f t="shared" si="1"/>
        <v>0.23333333333333334</v>
      </c>
      <c r="D8" s="48" cm="1">
        <f t="array" ref="D8">INDEX($B$2:$B$31, INT((ROW()-3)/2)+1)</f>
        <v>9.1999999999999998E-2</v>
      </c>
      <c r="E8" s="48" cm="1">
        <f t="array" ref="E8">IF(MOD(ROW()-3,2)=1,INDEX($C$2:$C$31, (ROW()-3)/2+1),INDEX($C$2:$C$31, (ROW()-4)/2+1))</f>
        <v>0.1</v>
      </c>
      <c r="V8" s="22">
        <f t="shared" si="2"/>
        <v>0.13066666666666665</v>
      </c>
      <c r="W8" s="22">
        <f t="shared" si="3"/>
        <v>0.16399999999999998</v>
      </c>
      <c r="X8">
        <f t="shared" si="0"/>
        <v>0</v>
      </c>
      <c r="Y8">
        <v>-43</v>
      </c>
    </row>
    <row r="9" spans="1:25" x14ac:dyDescent="0.45">
      <c r="A9" s="26">
        <v>0.16300000000000001</v>
      </c>
      <c r="B9" s="27">
        <v>0.44800000000000001</v>
      </c>
      <c r="C9" s="28">
        <f t="shared" si="1"/>
        <v>0.26666666666666666</v>
      </c>
      <c r="D9" s="48" cm="1">
        <f t="array" ref="D9">INDEX($B$2:$B$31, INT((ROW()-3)/2)+1)</f>
        <v>0.106</v>
      </c>
      <c r="E9" s="48" cm="1">
        <f t="array" ref="E9">IF(MOD(ROW()-3,2)=1,INDEX($C$2:$C$31, (ROW()-3)/2+1),INDEX($C$2:$C$31, (ROW()-4)/2+1))</f>
        <v>0.1</v>
      </c>
      <c r="V9" s="22">
        <f t="shared" si="2"/>
        <v>0.18133333333333335</v>
      </c>
      <c r="W9" s="22">
        <f t="shared" si="3"/>
        <v>0.21466666666666667</v>
      </c>
      <c r="X9">
        <f t="shared" si="0"/>
        <v>0</v>
      </c>
      <c r="Y9">
        <v>-42</v>
      </c>
    </row>
    <row r="10" spans="1:25" x14ac:dyDescent="0.45">
      <c r="A10" s="26">
        <v>0.66400000000000003</v>
      </c>
      <c r="B10" s="27">
        <v>0.44900000000000001</v>
      </c>
      <c r="C10" s="28">
        <f t="shared" si="1"/>
        <v>0.3</v>
      </c>
      <c r="D10" s="48" cm="1">
        <f t="array" ref="D10">INDEX($B$2:$B$31, INT((ROW()-3)/2)+1)</f>
        <v>0.106</v>
      </c>
      <c r="E10" s="48" cm="1">
        <f t="array" ref="E10">IF(MOD(ROW()-3,2)=1,INDEX($C$2:$C$31, (ROW()-3)/2+1),INDEX($C$2:$C$31, (ROW()-4)/2+1))</f>
        <v>0.13333333333333333</v>
      </c>
      <c r="V10" s="22">
        <f t="shared" si="2"/>
        <v>0.14900000000000002</v>
      </c>
      <c r="W10" s="22">
        <f t="shared" si="3"/>
        <v>0.18233333333333335</v>
      </c>
      <c r="X10">
        <f t="shared" si="0"/>
        <v>0</v>
      </c>
      <c r="Y10">
        <v>-41</v>
      </c>
    </row>
    <row r="11" spans="1:25" x14ac:dyDescent="0.45">
      <c r="A11" s="26">
        <v>0.76800000000000002</v>
      </c>
      <c r="B11" s="27">
        <v>0.46100000000000002</v>
      </c>
      <c r="C11" s="28">
        <f t="shared" si="1"/>
        <v>0.33333333333333331</v>
      </c>
      <c r="D11" s="48" cm="1">
        <f t="array" ref="D11">INDEX($B$2:$B$31, INT((ROW()-3)/2)+1)</f>
        <v>0.16300000000000001</v>
      </c>
      <c r="E11" s="48" cm="1">
        <f t="array" ref="E11">IF(MOD(ROW()-3,2)=1,INDEX($C$2:$C$31, (ROW()-3)/2+1),INDEX($C$2:$C$31, (ROW()-4)/2+1))</f>
        <v>0.13333333333333333</v>
      </c>
      <c r="V11" s="22">
        <f t="shared" si="2"/>
        <v>0.12766666666666671</v>
      </c>
      <c r="W11" s="22">
        <f t="shared" si="3"/>
        <v>0.16100000000000003</v>
      </c>
      <c r="X11">
        <f t="shared" si="0"/>
        <v>0</v>
      </c>
      <c r="Y11">
        <v>-40</v>
      </c>
    </row>
    <row r="12" spans="1:25" x14ac:dyDescent="0.45">
      <c r="A12" s="26">
        <v>0.17499999999999999</v>
      </c>
      <c r="B12" s="27">
        <v>0.47499999999999998</v>
      </c>
      <c r="C12" s="28">
        <f t="shared" si="1"/>
        <v>0.36666666666666664</v>
      </c>
      <c r="D12" s="48" cm="1">
        <f t="array" ref="D12">INDEX($B$2:$B$31, INT((ROW()-3)/2)+1)</f>
        <v>0.16300000000000001</v>
      </c>
      <c r="E12" s="48" cm="1">
        <f t="array" ref="E12">IF(MOD(ROW()-3,2)=1,INDEX($C$2:$C$31, (ROW()-3)/2+1),INDEX($C$2:$C$31, (ROW()-4)/2+1))</f>
        <v>0.16666666666666666</v>
      </c>
      <c r="V12" s="22">
        <f t="shared" si="2"/>
        <v>0.10833333333333334</v>
      </c>
      <c r="W12" s="22">
        <f t="shared" si="3"/>
        <v>0.14166666666666666</v>
      </c>
      <c r="X12">
        <f t="shared" si="0"/>
        <v>0</v>
      </c>
      <c r="Y12">
        <v>-39</v>
      </c>
    </row>
    <row r="13" spans="1:25" x14ac:dyDescent="0.45">
      <c r="A13" s="26">
        <v>0.46100000000000002</v>
      </c>
      <c r="B13" s="27">
        <v>0.53700000000000003</v>
      </c>
      <c r="C13" s="28">
        <f t="shared" si="1"/>
        <v>0.4</v>
      </c>
      <c r="D13" s="48" cm="1">
        <f t="array" ref="D13">INDEX($B$2:$B$31, INT((ROW()-3)/2)+1)</f>
        <v>0.17499999999999999</v>
      </c>
      <c r="E13" s="48" cm="1">
        <f t="array" ref="E13">IF(MOD(ROW()-3,2)=1,INDEX($C$2:$C$31, (ROW()-3)/2+1),INDEX($C$2:$C$31, (ROW()-4)/2+1))</f>
        <v>0.16666666666666666</v>
      </c>
      <c r="V13" s="22">
        <f t="shared" si="2"/>
        <v>0.13700000000000001</v>
      </c>
      <c r="W13" s="22">
        <f t="shared" si="3"/>
        <v>0.17033333333333339</v>
      </c>
      <c r="X13">
        <f t="shared" si="0"/>
        <v>0</v>
      </c>
      <c r="Y13">
        <v>-38</v>
      </c>
    </row>
    <row r="14" spans="1:25" x14ac:dyDescent="0.45">
      <c r="A14" s="26">
        <v>0.36399999999999999</v>
      </c>
      <c r="B14" s="27">
        <v>0.53800000000000003</v>
      </c>
      <c r="C14" s="28">
        <f t="shared" si="1"/>
        <v>0.43333333333333335</v>
      </c>
      <c r="D14" s="48" cm="1">
        <f t="array" ref="D14">INDEX($B$2:$B$31, INT((ROW()-3)/2)+1)</f>
        <v>0.17499999999999999</v>
      </c>
      <c r="E14" s="48" cm="1">
        <f t="array" ref="E14">IF(MOD(ROW()-3,2)=1,INDEX($C$2:$C$31, (ROW()-3)/2+1),INDEX($C$2:$C$31, (ROW()-4)/2+1))</f>
        <v>0.2</v>
      </c>
      <c r="V14" s="22">
        <f t="shared" si="2"/>
        <v>0.10466666666666669</v>
      </c>
      <c r="W14" s="22">
        <f t="shared" si="3"/>
        <v>0.13800000000000001</v>
      </c>
      <c r="X14">
        <f t="shared" si="0"/>
        <v>0</v>
      </c>
      <c r="Y14">
        <v>-37</v>
      </c>
    </row>
    <row r="15" spans="1:25" x14ac:dyDescent="0.45">
      <c r="A15" s="26">
        <v>0.66900000000000004</v>
      </c>
      <c r="B15" s="27">
        <v>0.63200000000000001</v>
      </c>
      <c r="C15" s="28">
        <f t="shared" si="1"/>
        <v>0.46666666666666667</v>
      </c>
      <c r="D15" s="48" cm="1">
        <f t="array" ref="D15">INDEX($B$2:$B$31, INT((ROW()-3)/2)+1)</f>
        <v>0.36399999999999999</v>
      </c>
      <c r="E15" s="48" cm="1">
        <f t="array" ref="E15">IF(MOD(ROW()-3,2)=1,INDEX($C$2:$C$31, (ROW()-3)/2+1),INDEX($C$2:$C$31, (ROW()-4)/2+1))</f>
        <v>0.2</v>
      </c>
      <c r="V15" s="22">
        <f t="shared" si="2"/>
        <v>0.16533333333333333</v>
      </c>
      <c r="W15" s="22">
        <f t="shared" si="3"/>
        <v>0.19866666666666666</v>
      </c>
      <c r="X15">
        <f t="shared" si="0"/>
        <v>0</v>
      </c>
      <c r="Y15">
        <v>-36</v>
      </c>
    </row>
    <row r="16" spans="1:25" x14ac:dyDescent="0.45">
      <c r="A16" s="26">
        <v>0.53700000000000003</v>
      </c>
      <c r="B16" s="27">
        <v>0.63400000000000001</v>
      </c>
      <c r="C16" s="28">
        <f t="shared" si="1"/>
        <v>0.5</v>
      </c>
      <c r="D16" s="48" cm="1">
        <f t="array" ref="D16">INDEX($B$2:$B$31, INT((ROW()-3)/2)+1)</f>
        <v>0.36399999999999999</v>
      </c>
      <c r="E16" s="48" cm="1">
        <f t="array" ref="E16">IF(MOD(ROW()-3,2)=1,INDEX($C$2:$C$31, (ROW()-3)/2+1),INDEX($C$2:$C$31, (ROW()-4)/2+1))</f>
        <v>0.23333333333333334</v>
      </c>
      <c r="V16" s="22">
        <f t="shared" si="2"/>
        <v>0.13400000000000001</v>
      </c>
      <c r="W16" s="22">
        <f t="shared" si="3"/>
        <v>0.16733333333333333</v>
      </c>
      <c r="X16">
        <f t="shared" si="0"/>
        <v>0</v>
      </c>
      <c r="Y16">
        <v>-35</v>
      </c>
    </row>
    <row r="17" spans="1:25" x14ac:dyDescent="0.45">
      <c r="A17" s="26">
        <v>0.78700000000000003</v>
      </c>
      <c r="B17" s="27">
        <v>0.64400000000000002</v>
      </c>
      <c r="C17" s="28">
        <f t="shared" si="1"/>
        <v>0.53333333333333333</v>
      </c>
      <c r="D17" s="48" cm="1">
        <f t="array" ref="D17">INDEX($B$2:$B$31, INT((ROW()-3)/2)+1)</f>
        <v>0.44800000000000001</v>
      </c>
      <c r="E17" s="48" cm="1">
        <f t="array" ref="E17">IF(MOD(ROW()-3,2)=1,INDEX($C$2:$C$31, (ROW()-3)/2+1),INDEX($C$2:$C$31, (ROW()-4)/2+1))</f>
        <v>0.23333333333333334</v>
      </c>
      <c r="V17" s="22">
        <f t="shared" si="2"/>
        <v>0.11066666666666669</v>
      </c>
      <c r="W17" s="22">
        <f t="shared" si="3"/>
        <v>0.14400000000000002</v>
      </c>
      <c r="X17">
        <f t="shared" si="0"/>
        <v>0</v>
      </c>
      <c r="Y17">
        <v>-34</v>
      </c>
    </row>
    <row r="18" spans="1:25" x14ac:dyDescent="0.45">
      <c r="A18" s="26">
        <v>0.84899999999999998</v>
      </c>
      <c r="B18" s="27">
        <v>0.66400000000000003</v>
      </c>
      <c r="C18" s="28">
        <f t="shared" si="1"/>
        <v>0.56666666666666665</v>
      </c>
      <c r="D18" s="48" cm="1">
        <f t="array" ref="D18">INDEX($B$2:$B$31, INT((ROW()-3)/2)+1)</f>
        <v>0.44800000000000001</v>
      </c>
      <c r="E18" s="48" cm="1">
        <f t="array" ref="E18">IF(MOD(ROW()-3,2)=1,INDEX($C$2:$C$31, (ROW()-3)/2+1),INDEX($C$2:$C$31, (ROW()-4)/2+1))</f>
        <v>0.26666666666666666</v>
      </c>
      <c r="V18" s="22">
        <f t="shared" si="2"/>
        <v>9.7333333333333383E-2</v>
      </c>
      <c r="W18" s="22">
        <f t="shared" si="3"/>
        <v>0.13066666666666671</v>
      </c>
      <c r="X18">
        <f t="shared" si="0"/>
        <v>0</v>
      </c>
      <c r="Y18">
        <v>-33</v>
      </c>
    </row>
    <row r="19" spans="1:25" x14ac:dyDescent="0.45">
      <c r="A19" s="26">
        <v>0.71099999999999997</v>
      </c>
      <c r="B19" s="27">
        <v>0.66900000000000004</v>
      </c>
      <c r="C19" s="28">
        <f t="shared" si="1"/>
        <v>0.6</v>
      </c>
      <c r="D19" s="48" cm="1">
        <f t="array" ref="D19">INDEX($B$2:$B$31, INT((ROW()-3)/2)+1)</f>
        <v>0.44900000000000001</v>
      </c>
      <c r="E19" s="48" cm="1">
        <f t="array" ref="E19">IF(MOD(ROW()-3,2)=1,INDEX($C$2:$C$31, (ROW()-3)/2+1),INDEX($C$2:$C$31, (ROW()-4)/2+1))</f>
        <v>0.26666666666666666</v>
      </c>
      <c r="V19" s="22">
        <f t="shared" si="2"/>
        <v>6.9000000000000061E-2</v>
      </c>
      <c r="W19" s="22">
        <f t="shared" si="3"/>
        <v>0.10233333333333339</v>
      </c>
      <c r="X19">
        <f t="shared" si="0"/>
        <v>0</v>
      </c>
      <c r="Y19">
        <v>-32</v>
      </c>
    </row>
    <row r="20" spans="1:25" x14ac:dyDescent="0.45">
      <c r="A20" s="26">
        <v>0.44800000000000001</v>
      </c>
      <c r="B20" s="27">
        <v>0.70199999999999996</v>
      </c>
      <c r="C20" s="28">
        <f t="shared" si="1"/>
        <v>0.6333333333333333</v>
      </c>
      <c r="D20" s="48" cm="1">
        <f t="array" ref="D20">INDEX($B$2:$B$31, INT((ROW()-3)/2)+1)</f>
        <v>0.44900000000000001</v>
      </c>
      <c r="E20" s="48" cm="1">
        <f t="array" ref="E20">IF(MOD(ROW()-3,2)=1,INDEX($C$2:$C$31, (ROW()-3)/2+1),INDEX($C$2:$C$31, (ROW()-4)/2+1))</f>
        <v>0.3</v>
      </c>
      <c r="V20" s="22">
        <f t="shared" si="2"/>
        <v>6.8666666666666654E-2</v>
      </c>
      <c r="W20" s="22">
        <f t="shared" si="3"/>
        <v>0.10199999999999998</v>
      </c>
      <c r="X20">
        <f t="shared" si="0"/>
        <v>0</v>
      </c>
      <c r="Y20">
        <v>-31</v>
      </c>
    </row>
    <row r="21" spans="1:25" x14ac:dyDescent="0.45">
      <c r="A21" s="26">
        <v>0.94699999999999995</v>
      </c>
      <c r="B21" s="27">
        <v>0.71099999999999997</v>
      </c>
      <c r="C21" s="28">
        <f t="shared" si="1"/>
        <v>0.66666666666666663</v>
      </c>
      <c r="D21" s="48" cm="1">
        <f t="array" ref="D21">INDEX($B$2:$B$31, INT((ROW()-3)/2)+1)</f>
        <v>0.46100000000000002</v>
      </c>
      <c r="E21" s="48" cm="1">
        <f t="array" ref="E21">IF(MOD(ROW()-3,2)=1,INDEX($C$2:$C$31, (ROW()-3)/2+1),INDEX($C$2:$C$31, (ROW()-4)/2+1))</f>
        <v>0.3</v>
      </c>
      <c r="V21" s="22">
        <f t="shared" si="2"/>
        <v>4.4333333333333336E-2</v>
      </c>
      <c r="W21" s="22">
        <f t="shared" si="3"/>
        <v>7.7666666666666662E-2</v>
      </c>
      <c r="X21">
        <f t="shared" si="0"/>
        <v>0</v>
      </c>
      <c r="Y21">
        <v>-30</v>
      </c>
    </row>
    <row r="22" spans="1:25" x14ac:dyDescent="0.45">
      <c r="A22" s="26">
        <v>6.5000000000000002E-2</v>
      </c>
      <c r="B22" s="27">
        <v>0.71899999999999997</v>
      </c>
      <c r="C22" s="28">
        <f t="shared" si="1"/>
        <v>0.7</v>
      </c>
      <c r="D22" s="48" cm="1">
        <f t="array" ref="D22">INDEX($B$2:$B$31, INT((ROW()-3)/2)+1)</f>
        <v>0.46100000000000002</v>
      </c>
      <c r="E22" s="48" cm="1">
        <f t="array" ref="E22">IF(MOD(ROW()-3,2)=1,INDEX($C$2:$C$31, (ROW()-3)/2+1),INDEX($C$2:$C$31, (ROW()-4)/2+1))</f>
        <v>0.33333333333333331</v>
      </c>
      <c r="V22" s="22">
        <f t="shared" si="2"/>
        <v>1.9000000000000017E-2</v>
      </c>
      <c r="W22" s="22">
        <f t="shared" si="3"/>
        <v>5.2333333333333343E-2</v>
      </c>
      <c r="X22">
        <f t="shared" si="0"/>
        <v>0</v>
      </c>
      <c r="Y22">
        <v>-29</v>
      </c>
    </row>
    <row r="23" spans="1:25" x14ac:dyDescent="0.45">
      <c r="A23" s="26">
        <v>0.879</v>
      </c>
      <c r="B23" s="27">
        <v>0.76200000000000001</v>
      </c>
      <c r="C23" s="28">
        <f t="shared" si="1"/>
        <v>0.73333333333333328</v>
      </c>
      <c r="D23" s="48" cm="1">
        <f t="array" ref="D23">INDEX($B$2:$B$31, INT((ROW()-3)/2)+1)</f>
        <v>0.47499999999999998</v>
      </c>
      <c r="E23" s="48" cm="1">
        <f t="array" ref="E23">IF(MOD(ROW()-3,2)=1,INDEX($C$2:$C$31, (ROW()-3)/2+1),INDEX($C$2:$C$31, (ROW()-4)/2+1))</f>
        <v>0.33333333333333331</v>
      </c>
      <c r="V23" s="22">
        <f t="shared" si="2"/>
        <v>2.8666666666666729E-2</v>
      </c>
      <c r="W23" s="22">
        <f t="shared" si="3"/>
        <v>6.2000000000000055E-2</v>
      </c>
      <c r="X23">
        <f t="shared" si="0"/>
        <v>0</v>
      </c>
      <c r="Y23">
        <v>-28</v>
      </c>
    </row>
    <row r="24" spans="1:25" x14ac:dyDescent="0.45">
      <c r="A24" s="26">
        <v>0.873</v>
      </c>
      <c r="B24" s="27">
        <v>0.76800000000000002</v>
      </c>
      <c r="C24" s="28">
        <f t="shared" si="1"/>
        <v>0.76666666666666672</v>
      </c>
      <c r="D24" s="48" cm="1">
        <f t="array" ref="D24">INDEX($B$2:$B$31, INT((ROW()-3)/2)+1)</f>
        <v>0.47499999999999998</v>
      </c>
      <c r="E24" s="48" cm="1">
        <f t="array" ref="E24">IF(MOD(ROW()-3,2)=1,INDEX($C$2:$C$31, (ROW()-3)/2+1),INDEX($C$2:$C$31, (ROW()-4)/2+1))</f>
        <v>0.36666666666666664</v>
      </c>
      <c r="V24" s="22">
        <f t="shared" si="2"/>
        <v>1.3333333333332975E-3</v>
      </c>
      <c r="W24" s="22">
        <f t="shared" si="3"/>
        <v>3.4666666666666734E-2</v>
      </c>
      <c r="X24">
        <f t="shared" si="0"/>
        <v>0</v>
      </c>
      <c r="Y24">
        <v>-27</v>
      </c>
    </row>
    <row r="25" spans="1:25" x14ac:dyDescent="0.45">
      <c r="A25" s="26">
        <v>0.64400000000000002</v>
      </c>
      <c r="B25" s="27">
        <v>0.78</v>
      </c>
      <c r="C25" s="28">
        <f t="shared" si="1"/>
        <v>0.8</v>
      </c>
      <c r="D25" s="48" cm="1">
        <f t="array" ref="D25">INDEX($B$2:$B$31, INT((ROW()-3)/2)+1)</f>
        <v>0.53700000000000003</v>
      </c>
      <c r="E25" s="48" cm="1">
        <f t="array" ref="E25">IF(MOD(ROW()-3,2)=1,INDEX($C$2:$C$31, (ROW()-3)/2+1),INDEX($C$2:$C$31, (ROW()-4)/2+1))</f>
        <v>0.36666666666666664</v>
      </c>
      <c r="V25" s="22">
        <f t="shared" si="2"/>
        <v>2.0000000000000018E-2</v>
      </c>
      <c r="W25" s="22">
        <f t="shared" si="3"/>
        <v>1.3333333333333308E-2</v>
      </c>
      <c r="X25">
        <f t="shared" si="0"/>
        <v>0</v>
      </c>
      <c r="Y25">
        <v>-26</v>
      </c>
    </row>
    <row r="26" spans="1:25" x14ac:dyDescent="0.45">
      <c r="A26" s="26">
        <v>0.71899999999999997</v>
      </c>
      <c r="B26" s="27">
        <v>0.78700000000000003</v>
      </c>
      <c r="C26" s="28">
        <f t="shared" si="1"/>
        <v>0.83333333333333337</v>
      </c>
      <c r="D26" s="48" cm="1">
        <f t="array" ref="D26">INDEX($B$2:$B$31, INT((ROW()-3)/2)+1)</f>
        <v>0.53700000000000003</v>
      </c>
      <c r="E26" s="48" cm="1">
        <f t="array" ref="E26">IF(MOD(ROW()-3,2)=1,INDEX($C$2:$C$31, (ROW()-3)/2+1),INDEX($C$2:$C$31, (ROW()-4)/2+1))</f>
        <v>0.4</v>
      </c>
      <c r="V26" s="22">
        <f t="shared" si="2"/>
        <v>4.6333333333333337E-2</v>
      </c>
      <c r="W26" s="22">
        <f t="shared" si="3"/>
        <v>1.3000000000000012E-2</v>
      </c>
      <c r="X26">
        <f t="shared" si="0"/>
        <v>0</v>
      </c>
      <c r="Y26">
        <v>-25</v>
      </c>
    </row>
    <row r="27" spans="1:25" x14ac:dyDescent="0.45">
      <c r="A27" s="26">
        <v>0.47499999999999998</v>
      </c>
      <c r="B27" s="27">
        <v>0.84899999999999998</v>
      </c>
      <c r="C27" s="28">
        <f t="shared" si="1"/>
        <v>0.8666666666666667</v>
      </c>
      <c r="D27" s="48" cm="1">
        <f t="array" ref="D27">INDEX($B$2:$B$31, INT((ROW()-3)/2)+1)</f>
        <v>0.53800000000000003</v>
      </c>
      <c r="E27" s="48" cm="1">
        <f t="array" ref="E27">IF(MOD(ROW()-3,2)=1,INDEX($C$2:$C$31, (ROW()-3)/2+1),INDEX($C$2:$C$31, (ROW()-4)/2+1))</f>
        <v>0.4</v>
      </c>
      <c r="V27" s="22">
        <f t="shared" si="2"/>
        <v>1.7666666666666719E-2</v>
      </c>
      <c r="W27" s="22">
        <f t="shared" si="3"/>
        <v>1.5666666666666607E-2</v>
      </c>
      <c r="X27">
        <f t="shared" si="0"/>
        <v>0</v>
      </c>
      <c r="Y27">
        <v>-24</v>
      </c>
    </row>
    <row r="28" spans="1:25" x14ac:dyDescent="0.45">
      <c r="A28" s="26">
        <v>0.86399999999999999</v>
      </c>
      <c r="B28" s="27">
        <v>0.86399999999999999</v>
      </c>
      <c r="C28" s="28">
        <f t="shared" si="1"/>
        <v>0.9</v>
      </c>
      <c r="D28" s="48" cm="1">
        <f t="array" ref="D28">INDEX($B$2:$B$31, INT((ROW()-3)/2)+1)</f>
        <v>0.53800000000000003</v>
      </c>
      <c r="E28" s="48" cm="1">
        <f t="array" ref="E28">IF(MOD(ROW()-3,2)=1,INDEX($C$2:$C$31, (ROW()-3)/2+1),INDEX($C$2:$C$31, (ROW()-4)/2+1))</f>
        <v>0.43333333333333335</v>
      </c>
      <c r="V28" s="22">
        <f t="shared" si="2"/>
        <v>3.6000000000000032E-2</v>
      </c>
      <c r="W28" s="22">
        <f t="shared" si="3"/>
        <v>2.666666666666706E-3</v>
      </c>
      <c r="X28">
        <f t="shared" si="0"/>
        <v>0</v>
      </c>
      <c r="Y28">
        <v>-23</v>
      </c>
    </row>
    <row r="29" spans="1:25" x14ac:dyDescent="0.45">
      <c r="A29" s="26">
        <v>0.63400000000000001</v>
      </c>
      <c r="B29" s="27">
        <v>0.873</v>
      </c>
      <c r="C29" s="28">
        <f t="shared" si="1"/>
        <v>0.93333333333333335</v>
      </c>
      <c r="D29" s="48" cm="1">
        <f t="array" ref="D29">INDEX($B$2:$B$31, INT((ROW()-3)/2)+1)</f>
        <v>0.63200000000000001</v>
      </c>
      <c r="E29" s="48" cm="1">
        <f t="array" ref="E29">IF(MOD(ROW()-3,2)=1,INDEX($C$2:$C$31, (ROW()-3)/2+1),INDEX($C$2:$C$31, (ROW()-4)/2+1))</f>
        <v>0.43333333333333335</v>
      </c>
      <c r="V29" s="22">
        <f t="shared" si="2"/>
        <v>6.033333333333335E-2</v>
      </c>
      <c r="W29" s="22">
        <f t="shared" si="3"/>
        <v>2.7000000000000024E-2</v>
      </c>
      <c r="X29">
        <f t="shared" si="0"/>
        <v>0</v>
      </c>
      <c r="Y29">
        <v>-22</v>
      </c>
    </row>
    <row r="30" spans="1:25" x14ac:dyDescent="0.45">
      <c r="A30" s="26">
        <v>0.78</v>
      </c>
      <c r="B30" s="27">
        <v>0.879</v>
      </c>
      <c r="C30" s="28">
        <f t="shared" si="1"/>
        <v>0.96666666666666667</v>
      </c>
      <c r="D30" s="48" cm="1">
        <f t="array" ref="D30">INDEX($B$2:$B$31, INT((ROW()-3)/2)+1)</f>
        <v>0.63200000000000001</v>
      </c>
      <c r="E30" s="48" cm="1">
        <f t="array" ref="E30">IF(MOD(ROW()-3,2)=1,INDEX($C$2:$C$31, (ROW()-3)/2+1),INDEX($C$2:$C$31, (ROW()-4)/2+1))</f>
        <v>0.46666666666666667</v>
      </c>
      <c r="V30" s="22">
        <f t="shared" si="2"/>
        <v>8.7666666666666671E-2</v>
      </c>
      <c r="W30" s="22">
        <f t="shared" si="3"/>
        <v>5.4333333333333345E-2</v>
      </c>
      <c r="X30">
        <f t="shared" si="0"/>
        <v>0</v>
      </c>
      <c r="Y30">
        <v>-21</v>
      </c>
    </row>
    <row r="31" spans="1:25" x14ac:dyDescent="0.45">
      <c r="A31" s="29">
        <v>3.5000000000000003E-2</v>
      </c>
      <c r="B31" s="30">
        <v>0.94699999999999995</v>
      </c>
      <c r="C31" s="31">
        <f t="shared" si="1"/>
        <v>1</v>
      </c>
      <c r="D31" s="48" cm="1">
        <f t="array" ref="D31">INDEX($B$2:$B$31, INT((ROW()-3)/2)+1)</f>
        <v>0.63400000000000001</v>
      </c>
      <c r="E31" s="48" cm="1">
        <f t="array" ref="E31">IF(MOD(ROW()-3,2)=1,INDEX($C$2:$C$31, (ROW()-3)/2+1),INDEX($C$2:$C$31, (ROW()-4)/2+1))</f>
        <v>0.46666666666666667</v>
      </c>
      <c r="G31" s="55" t="s">
        <v>45</v>
      </c>
      <c r="H31" s="55"/>
      <c r="I31" s="55"/>
      <c r="J31" s="55"/>
      <c r="K31" s="55"/>
      <c r="V31" s="22">
        <f t="shared" si="2"/>
        <v>5.3000000000000047E-2</v>
      </c>
      <c r="W31" s="22">
        <f t="shared" si="3"/>
        <v>1.9666666666666721E-2</v>
      </c>
      <c r="X31">
        <f t="shared" si="0"/>
        <v>0</v>
      </c>
      <c r="Y31">
        <v>-20</v>
      </c>
    </row>
    <row r="32" spans="1:25" x14ac:dyDescent="0.45">
      <c r="D32" s="48" cm="1">
        <f t="array" ref="D32">INDEX($B$2:$B$31, INT((ROW()-3)/2)+1)</f>
        <v>0.63400000000000001</v>
      </c>
      <c r="E32" s="48" cm="1">
        <f t="array" ref="E32">IF(MOD(ROW()-3,2)=1,INDEX($C$2:$C$31, (ROW()-3)/2+1),INDEX($C$2:$C$31, (ROW()-4)/2+1))</f>
        <v>0.5</v>
      </c>
      <c r="G32" s="32" t="s">
        <v>1</v>
      </c>
      <c r="H32" s="33" t="s">
        <v>39</v>
      </c>
      <c r="I32" s="33" t="s">
        <v>41</v>
      </c>
      <c r="J32" s="33" t="str">
        <f>"К("&amp;ROUND(I33,4)&amp;")"</f>
        <v>К(1,1758)</v>
      </c>
      <c r="K32" s="34" t="s">
        <v>42</v>
      </c>
      <c r="X32">
        <f t="shared" si="0"/>
        <v>0</v>
      </c>
      <c r="Y32">
        <v>-19</v>
      </c>
    </row>
    <row r="33" spans="4:25" x14ac:dyDescent="0.45">
      <c r="D33" s="48" cm="1">
        <f t="array" ref="D33">INDEX($B$2:$B$31, INT((ROW()-3)/2)+1)</f>
        <v>0.64400000000000002</v>
      </c>
      <c r="E33" s="48" cm="1">
        <f t="array" ref="E33">IF(MOD(ROW()-3,2)=1,INDEX($C$2:$C$31, (ROW()-3)/2+1),INDEX($C$2:$C$31, (ROW()-4)/2+1))</f>
        <v>0.5</v>
      </c>
      <c r="G33" s="32">
        <v>0.13</v>
      </c>
      <c r="H33" s="33">
        <f>MAX(V2:W31)</f>
        <v>0.21466666666666667</v>
      </c>
      <c r="I33" s="33">
        <f>SQRT(COUNT(A2:A31)) * H33</f>
        <v>1.1757777567777565</v>
      </c>
      <c r="J33" s="33">
        <f>SUM(X1:X100)</f>
        <v>0.8740675150711027</v>
      </c>
      <c r="K33" s="34">
        <f>1-J33</f>
        <v>0.1259324849288973</v>
      </c>
      <c r="X33">
        <f t="shared" si="0"/>
        <v>0</v>
      </c>
      <c r="Y33">
        <v>-18</v>
      </c>
    </row>
    <row r="34" spans="4:25" x14ac:dyDescent="0.45">
      <c r="D34" s="48" cm="1">
        <f t="array" ref="D34">INDEX($B$2:$B$31, INT((ROW()-3)/2)+1)</f>
        <v>0.64400000000000002</v>
      </c>
      <c r="E34" s="48" cm="1">
        <f t="array" ref="E34">IF(MOD(ROW()-3,2)=1,INDEX($C$2:$C$31, (ROW()-3)/2+1),INDEX($C$2:$C$31, (ROW()-4)/2+1))</f>
        <v>0.53333333333333333</v>
      </c>
      <c r="X34">
        <f t="shared" si="0"/>
        <v>0</v>
      </c>
      <c r="Y34">
        <v>-17</v>
      </c>
    </row>
    <row r="35" spans="4:25" x14ac:dyDescent="0.45">
      <c r="D35" s="48" cm="1">
        <f t="array" ref="D35">INDEX($B$2:$B$31, INT((ROW()-3)/2)+1)</f>
        <v>0.66400000000000003</v>
      </c>
      <c r="E35" s="48" cm="1">
        <f t="array" ref="E35">IF(MOD(ROW()-3,2)=1,INDEX($C$2:$C$31, (ROW()-3)/2+1),INDEX($C$2:$C$31, (ROW()-4)/2+1))</f>
        <v>0.53333333333333333</v>
      </c>
      <c r="X35">
        <f t="shared" si="0"/>
        <v>3.9753069907419981E-308</v>
      </c>
      <c r="Y35">
        <v>-16</v>
      </c>
    </row>
    <row r="36" spans="4:25" x14ac:dyDescent="0.45">
      <c r="D36" s="48" cm="1">
        <f t="array" ref="D36">INDEX($B$2:$B$31, INT((ROW()-3)/2)+1)</f>
        <v>0.66400000000000003</v>
      </c>
      <c r="E36" s="48" cm="1">
        <f t="array" ref="E36">IF(MOD(ROW()-3,2)=1,INDEX($C$2:$C$31, (ROW()-3)/2+1),INDEX($C$2:$C$31, (ROW()-4)/2+1))</f>
        <v>0.56666666666666665</v>
      </c>
      <c r="G36" s="55" t="s">
        <v>46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X36">
        <f t="shared" si="0"/>
        <v>-6.6629358210008179E-271</v>
      </c>
      <c r="Y36">
        <v>-15</v>
      </c>
    </row>
    <row r="37" spans="4:25" x14ac:dyDescent="0.45">
      <c r="D37" s="48" cm="1">
        <f t="array" ref="D37">INDEX($B$2:$B$31, INT((ROW()-3)/2)+1)</f>
        <v>0.66900000000000004</v>
      </c>
      <c r="E37" s="48" cm="1">
        <f t="array" ref="E37">IF(MOD(ROW()-3,2)=1,INDEX($C$2:$C$31, (ROW()-3)/2+1),INDEX($C$2:$C$31, (ROW()-4)/2+1))</f>
        <v>0.56666666666666665</v>
      </c>
      <c r="G37" s="32" t="s">
        <v>1</v>
      </c>
      <c r="H37" s="33" t="s">
        <v>47</v>
      </c>
      <c r="I37" s="33" t="s">
        <v>48</v>
      </c>
      <c r="J37" s="33" t="s">
        <v>49</v>
      </c>
      <c r="K37" s="33" t="s">
        <v>50</v>
      </c>
      <c r="L37" s="33" t="s">
        <v>51</v>
      </c>
      <c r="M37" s="33" t="s">
        <v>52</v>
      </c>
      <c r="N37" s="33" t="s">
        <v>53</v>
      </c>
      <c r="O37" s="33" t="s">
        <v>54</v>
      </c>
      <c r="P37" s="33" t="s">
        <v>40</v>
      </c>
      <c r="Q37" s="34" t="s">
        <v>56</v>
      </c>
      <c r="R37" s="34" t="s">
        <v>42</v>
      </c>
      <c r="X37">
        <f t="shared" si="0"/>
        <v>4.4298923340178466E-236</v>
      </c>
      <c r="Y37">
        <v>-14</v>
      </c>
    </row>
    <row r="38" spans="4:25" x14ac:dyDescent="0.45">
      <c r="D38" s="48" cm="1">
        <f t="array" ref="D38">INDEX($B$2:$B$31, INT((ROW()-3)/2)+1)</f>
        <v>0.66900000000000004</v>
      </c>
      <c r="E38" s="48" cm="1">
        <f t="array" ref="E38">IF(MOD(ROW()-3,2)=1,INDEX($C$2:$C$31, (ROW()-3)/2+1),INDEX($C$2:$C$31, (ROW()-4)/2+1))</f>
        <v>0.6</v>
      </c>
      <c r="G38" s="32">
        <v>0.13</v>
      </c>
      <c r="H38" s="33">
        <f>COUNTA(I37:M37)</f>
        <v>5</v>
      </c>
      <c r="I38" s="33">
        <f>COUNTIFS($B$2:$B$31,"&gt;=0", $B$2:$B$31,"&lt;0,2")</f>
        <v>6</v>
      </c>
      <c r="J38" s="33">
        <f>COUNTIFS($B$2:$B$31,"&gt;=0,2", $B$2:$B$31,"&lt;0,4")</f>
        <v>1</v>
      </c>
      <c r="K38" s="33">
        <f>COUNTIFS($B$2:$B$31,"&gt;=0,4", $B$2:$B$31,"&lt;0,6")</f>
        <v>6</v>
      </c>
      <c r="L38" s="33">
        <f>COUNTIFS($B$2:$B$31,"&gt;=0,6", $B$2:$B$31,"&lt;0,8")</f>
        <v>12</v>
      </c>
      <c r="M38" s="33">
        <f>COUNTIFS($B$2:$B$31,"&gt;=0,8", $B$2:$B$31,"&lt;=1")</f>
        <v>5</v>
      </c>
      <c r="N38" s="33">
        <f>1/H38</f>
        <v>0.2</v>
      </c>
      <c r="O38" s="33">
        <f>SUM(I39:M39)</f>
        <v>10.333333333333334</v>
      </c>
      <c r="P38" s="34">
        <f>_xlfn.CHISQ.INV(1-G38, H38-1)</f>
        <v>7.1137062106807987</v>
      </c>
      <c r="Q38" s="34">
        <f>_xlfn.CHISQ.DIST(O38,H38-1,TRUE)</f>
        <v>0.96482811451228767</v>
      </c>
      <c r="R38" s="34">
        <f>1-Q38</f>
        <v>3.5171885487712329E-2</v>
      </c>
      <c r="X38">
        <f t="shared" si="0"/>
        <v>-1.1682970913848936E-203</v>
      </c>
      <c r="Y38">
        <v>-13</v>
      </c>
    </row>
    <row r="39" spans="4:25" x14ac:dyDescent="0.45">
      <c r="D39" s="48" cm="1">
        <f t="array" ref="D39">INDEX($B$2:$B$31, INT((ROW()-3)/2)+1)</f>
        <v>0.70199999999999996</v>
      </c>
      <c r="E39" s="48" cm="1">
        <f t="array" ref="E39">IF(MOD(ROW()-3,2)=1,INDEX($C$2:$C$31, (ROW()-3)/2+1),INDEX($C$2:$C$31, (ROW()-4)/2+1))</f>
        <v>0.6</v>
      </c>
      <c r="G39" s="54" t="s">
        <v>55</v>
      </c>
      <c r="H39" s="54"/>
      <c r="I39" s="36">
        <f>((I38-COUNT($B$2:$B$31)*$N$38)^2)/(COUNT($B$2:$B$31)*$N$38)</f>
        <v>0</v>
      </c>
      <c r="J39" s="36">
        <f>((J38-COUNT($B$2:$B$31)*$N$38)^2)/(COUNT($B$2:$B$31)*$N$38)</f>
        <v>4.166666666666667</v>
      </c>
      <c r="K39" s="36">
        <f>((K38-COUNT($B$2:$B$31)*$N$38)^2)/(COUNT($B$2:$B$31)*$N$38)</f>
        <v>0</v>
      </c>
      <c r="L39" s="36">
        <f>((L38-COUNT($B$2:$B$31)*$N$38)^2)/(COUNT($B$2:$B$31)*$N$38)</f>
        <v>6</v>
      </c>
      <c r="M39" s="36">
        <f>((M38-COUNT($B$2:$B$31)*$N$38)^2)/(COUNT($B$2:$B$31)*$N$38)</f>
        <v>0.16666666666666666</v>
      </c>
      <c r="X39">
        <f t="shared" si="0"/>
        <v>1.2222104797882165E-173</v>
      </c>
      <c r="Y39">
        <v>-12</v>
      </c>
    </row>
    <row r="40" spans="4:25" x14ac:dyDescent="0.45">
      <c r="D40" s="48" cm="1">
        <f t="array" ref="D40">INDEX($B$2:$B$31, INT((ROW()-3)/2)+1)</f>
        <v>0.70199999999999996</v>
      </c>
      <c r="E40" s="48" cm="1">
        <f t="array" ref="E40">IF(MOD(ROW()-3,2)=1,INDEX($C$2:$C$31, (ROW()-3)/2+1),INDEX($C$2:$C$31, (ROW()-4)/2+1))</f>
        <v>0.6333333333333333</v>
      </c>
      <c r="X40">
        <f t="shared" si="0"/>
        <v>-5.0719071494153947E-146</v>
      </c>
      <c r="Y40">
        <v>-11</v>
      </c>
    </row>
    <row r="41" spans="4:25" x14ac:dyDescent="0.45">
      <c r="D41" s="48" cm="1">
        <f t="array" ref="D41">INDEX($B$2:$B$31, INT((ROW()-3)/2)+1)</f>
        <v>0.71099999999999997</v>
      </c>
      <c r="E41" s="48" cm="1">
        <f t="array" ref="E41">IF(MOD(ROW()-3,2)=1,INDEX($C$2:$C$31, (ROW()-3)/2+1),INDEX($C$2:$C$31, (ROW()-4)/2+1))</f>
        <v>0.6333333333333333</v>
      </c>
      <c r="X41">
        <f t="shared" si="0"/>
        <v>8.3488982630540068E-121</v>
      </c>
      <c r="Y41">
        <v>-10</v>
      </c>
    </row>
    <row r="42" spans="4:25" x14ac:dyDescent="0.45">
      <c r="D42" s="48" cm="1">
        <f t="array" ref="D42">INDEX($B$2:$B$31, INT((ROW()-3)/2)+1)</f>
        <v>0.71099999999999997</v>
      </c>
      <c r="E42" s="48" cm="1">
        <f t="array" ref="E42">IF(MOD(ROW()-3,2)=1,INDEX($C$2:$C$31, (ROW()-3)/2+1),INDEX($C$2:$C$31, (ROW()-4)/2+1))</f>
        <v>0.66666666666666663</v>
      </c>
      <c r="X42">
        <f t="shared" si="0"/>
        <v>-5.4515453198828269E-98</v>
      </c>
      <c r="Y42">
        <v>-9</v>
      </c>
    </row>
    <row r="43" spans="4:25" x14ac:dyDescent="0.45">
      <c r="D43" s="48" cm="1">
        <f t="array" ref="D43">INDEX($B$2:$B$31, INT((ROW()-3)/2)+1)</f>
        <v>0.71899999999999997</v>
      </c>
      <c r="E43" s="48" cm="1">
        <f t="array" ref="E43">IF(MOD(ROW()-3,2)=1,INDEX($C$2:$C$31, (ROW()-3)/2+1),INDEX($C$2:$C$31, (ROW()-4)/2+1))</f>
        <v>0.66666666666666663</v>
      </c>
      <c r="H43" s="41" t="s">
        <v>42</v>
      </c>
      <c r="I43" s="35"/>
      <c r="J43" s="42" t="s">
        <v>1</v>
      </c>
      <c r="X43">
        <f t="shared" si="0"/>
        <v>1.4120259172208626E-77</v>
      </c>
      <c r="Y43">
        <v>-8</v>
      </c>
    </row>
    <row r="44" spans="4:25" x14ac:dyDescent="0.45">
      <c r="D44" s="48" cm="1">
        <f t="array" ref="D44">INDEX($B$2:$B$31, INT((ROW()-3)/2)+1)</f>
        <v>0.71899999999999997</v>
      </c>
      <c r="E44" s="48" cm="1">
        <f t="array" ref="E44">IF(MOD(ROW()-3,2)=1,INDEX($C$2:$C$31, (ROW()-3)/2+1),INDEX($C$2:$C$31, (ROW()-4)/2+1))</f>
        <v>0.7</v>
      </c>
      <c r="G44" s="21" t="s">
        <v>7</v>
      </c>
      <c r="H44" s="38">
        <f>K33</f>
        <v>0.1259324849288973</v>
      </c>
      <c r="I44" s="43" t="s">
        <v>43</v>
      </c>
      <c r="J44" s="40">
        <f>G33</f>
        <v>0.13</v>
      </c>
      <c r="X44">
        <f t="shared" si="0"/>
        <v>-1.4507690860380184E-59</v>
      </c>
      <c r="Y44">
        <v>-7</v>
      </c>
    </row>
    <row r="45" spans="4:25" x14ac:dyDescent="0.45">
      <c r="D45" s="48" cm="1">
        <f t="array" ref="D45">INDEX($B$2:$B$31, INT((ROW()-3)/2)+1)</f>
        <v>0.76200000000000001</v>
      </c>
      <c r="E45" s="48" cm="1">
        <f t="array" ref="E45">IF(MOD(ROW()-3,2)=1,INDEX($C$2:$C$31, (ROW()-3)/2+1),INDEX($C$2:$C$31, (ROW()-4)/2+1))</f>
        <v>0.7</v>
      </c>
      <c r="G45" s="21"/>
      <c r="H45" s="53" t="s">
        <v>44</v>
      </c>
      <c r="I45" s="53"/>
      <c r="J45" s="53"/>
      <c r="X45">
        <f t="shared" si="0"/>
        <v>5.9127089391436069E-44</v>
      </c>
      <c r="Y45">
        <v>-6</v>
      </c>
    </row>
    <row r="46" spans="4:25" x14ac:dyDescent="0.45">
      <c r="D46" s="48" cm="1">
        <f t="array" ref="D46">INDEX($B$2:$B$31, INT((ROW()-3)/2)+1)</f>
        <v>0.76200000000000001</v>
      </c>
      <c r="E46" s="48" cm="1">
        <f t="array" ref="E46">IF(MOD(ROW()-3,2)=1,INDEX($C$2:$C$31, (ROW()-3)/2+1),INDEX($C$2:$C$31, (ROW()-4)/2+1))</f>
        <v>0.73333333333333328</v>
      </c>
      <c r="G46" s="21"/>
      <c r="X46">
        <f t="shared" si="0"/>
        <v>-9.5588862205418562E-31</v>
      </c>
      <c r="Y46">
        <v>-5</v>
      </c>
    </row>
    <row r="47" spans="4:25" x14ac:dyDescent="0.45">
      <c r="D47" s="48" cm="1">
        <f t="array" ref="D47">INDEX($B$2:$B$31, INT((ROW()-3)/2)+1)</f>
        <v>0.76800000000000002</v>
      </c>
      <c r="E47" s="48" cm="1">
        <f t="array" ref="E47">IF(MOD(ROW()-3,2)=1,INDEX($C$2:$C$31, (ROW()-3)/2+1),INDEX($C$2:$C$31, (ROW()-4)/2+1))</f>
        <v>0.73333333333333328</v>
      </c>
      <c r="G47" s="21"/>
      <c r="X47">
        <f t="shared" si="0"/>
        <v>6.1300027172220088E-20</v>
      </c>
      <c r="Y47">
        <v>-4</v>
      </c>
    </row>
    <row r="48" spans="4:25" x14ac:dyDescent="0.45">
      <c r="D48" s="48" cm="1">
        <f t="array" ref="D48">INDEX($B$2:$B$31, INT((ROW()-3)/2)+1)</f>
        <v>0.76800000000000002</v>
      </c>
      <c r="E48" s="48" cm="1">
        <f t="array" ref="E48">IF(MOD(ROW()-3,2)=1,INDEX($C$2:$C$31, (ROW()-3)/2+1),INDEX($C$2:$C$31, (ROW()-4)/2+1))</f>
        <v>0.76666666666666672</v>
      </c>
      <c r="G48" s="21" t="s">
        <v>10</v>
      </c>
      <c r="H48" s="37" t="s">
        <v>54</v>
      </c>
      <c r="I48" s="35"/>
      <c r="J48" s="37" t="s">
        <v>40</v>
      </c>
      <c r="X48">
        <f t="shared" si="0"/>
        <v>-1.5593608455811282E-11</v>
      </c>
      <c r="Y48">
        <v>-3</v>
      </c>
    </row>
    <row r="49" spans="4:25" x14ac:dyDescent="0.45">
      <c r="D49" s="48" cm="1">
        <f t="array" ref="D49">INDEX($B$2:$B$31, INT((ROW()-3)/2)+1)</f>
        <v>0.78</v>
      </c>
      <c r="E49" s="48" cm="1">
        <f t="array" ref="E49">IF(MOD(ROW()-3,2)=1,INDEX($C$2:$C$31, (ROW()-3)/2+1),INDEX($C$2:$C$31, (ROW()-4)/2+1))</f>
        <v>0.76666666666666672</v>
      </c>
      <c r="G49" s="20"/>
      <c r="H49" s="38">
        <f>O38</f>
        <v>10.333333333333334</v>
      </c>
      <c r="I49" s="39" t="s">
        <v>57</v>
      </c>
      <c r="J49" s="40">
        <f>P38</f>
        <v>7.1137062106807987</v>
      </c>
      <c r="X49">
        <f t="shared" si="0"/>
        <v>1.5734942736996997E-5</v>
      </c>
      <c r="Y49">
        <v>-2</v>
      </c>
    </row>
    <row r="50" spans="4:25" x14ac:dyDescent="0.45">
      <c r="D50" s="48" cm="1">
        <f t="array" ref="D50">INDEX($B$2:$B$31, INT((ROW()-3)/2)+1)</f>
        <v>0.78</v>
      </c>
      <c r="E50" s="48" cm="1">
        <f t="array" ref="E50">IF(MOD(ROW()-3,2)=1,INDEX($C$2:$C$31, (ROW()-3)/2+1),INDEX($C$2:$C$31, (ROW()-4)/2+1))</f>
        <v>0.8</v>
      </c>
      <c r="H50" s="53" t="s">
        <v>44</v>
      </c>
      <c r="I50" s="53"/>
      <c r="J50" s="53"/>
      <c r="X50">
        <f t="shared" si="0"/>
        <v>-6.2981977391592031E-2</v>
      </c>
      <c r="Y50">
        <v>-1</v>
      </c>
    </row>
    <row r="51" spans="4:25" x14ac:dyDescent="0.45">
      <c r="D51" s="48" cm="1">
        <f t="array" ref="D51">INDEX($B$2:$B$31, INT((ROW()-3)/2)+1)</f>
        <v>0.78700000000000003</v>
      </c>
      <c r="E51" s="48" cm="1">
        <f t="array" ref="E51">IF(MOD(ROW()-3,2)=1,INDEX($C$2:$C$31, (ROW()-3)/2+1),INDEX($C$2:$C$31, (ROW()-4)/2+1))</f>
        <v>0.8</v>
      </c>
      <c r="X51">
        <f t="shared" si="0"/>
        <v>1</v>
      </c>
      <c r="Y51">
        <v>0</v>
      </c>
    </row>
    <row r="52" spans="4:25" x14ac:dyDescent="0.45">
      <c r="D52" s="48" cm="1">
        <f t="array" ref="D52">INDEX($B$2:$B$31, INT((ROW()-3)/2)+1)</f>
        <v>0.78700000000000003</v>
      </c>
      <c r="E52" s="48" cm="1">
        <f t="array" ref="E52">IF(MOD(ROW()-3,2)=1,INDEX($C$2:$C$31, (ROW()-3)/2+1),INDEX($C$2:$C$31, (ROW()-4)/2+1))</f>
        <v>0.83333333333333337</v>
      </c>
      <c r="H52" s="37" t="s">
        <v>42</v>
      </c>
      <c r="I52" s="35"/>
      <c r="J52" s="37" t="s">
        <v>1</v>
      </c>
      <c r="X52">
        <f t="shared" si="0"/>
        <v>-6.2981977391592031E-2</v>
      </c>
      <c r="Y52">
        <v>1</v>
      </c>
    </row>
    <row r="53" spans="4:25" x14ac:dyDescent="0.45">
      <c r="D53" s="48" cm="1">
        <f t="array" ref="D53">INDEX($B$2:$B$31, INT((ROW()-3)/2)+1)</f>
        <v>0.84899999999999998</v>
      </c>
      <c r="E53" s="48" cm="1">
        <f t="array" ref="E53">IF(MOD(ROW()-3,2)=1,INDEX($C$2:$C$31, (ROW()-3)/2+1),INDEX($C$2:$C$31, (ROW()-4)/2+1))</f>
        <v>0.83333333333333337</v>
      </c>
      <c r="H53" s="38">
        <f>R38</f>
        <v>3.5171885487712329E-2</v>
      </c>
      <c r="I53" s="39" t="s">
        <v>43</v>
      </c>
      <c r="J53" s="40">
        <f>G38</f>
        <v>0.13</v>
      </c>
      <c r="X53">
        <f t="shared" si="0"/>
        <v>1.5734942736996997E-5</v>
      </c>
      <c r="Y53">
        <v>2</v>
      </c>
    </row>
    <row r="54" spans="4:25" x14ac:dyDescent="0.45">
      <c r="D54" s="48" cm="1">
        <f t="array" ref="D54">INDEX($B$2:$B$31, INT((ROW()-3)/2)+1)</f>
        <v>0.84899999999999998</v>
      </c>
      <c r="E54" s="48" cm="1">
        <f t="array" ref="E54">IF(MOD(ROW()-3,2)=1,INDEX($C$2:$C$31, (ROW()-3)/2+1),INDEX($C$2:$C$31, (ROW()-4)/2+1))</f>
        <v>0.8666666666666667</v>
      </c>
      <c r="H54" s="53" t="s">
        <v>44</v>
      </c>
      <c r="I54" s="53"/>
      <c r="J54" s="53"/>
      <c r="X54">
        <f t="shared" si="0"/>
        <v>-1.5593608455811282E-11</v>
      </c>
      <c r="Y54">
        <v>3</v>
      </c>
    </row>
    <row r="55" spans="4:25" x14ac:dyDescent="0.45">
      <c r="D55" s="48" cm="1">
        <f t="array" ref="D55">INDEX($B$2:$B$31, INT((ROW()-3)/2)+1)</f>
        <v>0.86399999999999999</v>
      </c>
      <c r="E55" s="48" cm="1">
        <f t="array" ref="E55">IF(MOD(ROW()-3,2)=1,INDEX($C$2:$C$31, (ROW()-3)/2+1),INDEX($C$2:$C$31, (ROW()-4)/2+1))</f>
        <v>0.8666666666666667</v>
      </c>
      <c r="X55">
        <f t="shared" si="0"/>
        <v>6.1300027172220088E-20</v>
      </c>
      <c r="Y55">
        <v>4</v>
      </c>
    </row>
    <row r="56" spans="4:25" x14ac:dyDescent="0.45">
      <c r="D56" s="48" cm="1">
        <f t="array" ref="D56">INDEX($B$2:$B$31, INT((ROW()-3)/2)+1)</f>
        <v>0.86399999999999999</v>
      </c>
      <c r="E56" s="48" cm="1">
        <f t="array" ref="E56">IF(MOD(ROW()-3,2)=1,INDEX($C$2:$C$31, (ROW()-3)/2+1),INDEX($C$2:$C$31, (ROW()-4)/2+1))</f>
        <v>0.9</v>
      </c>
      <c r="X56">
        <f t="shared" si="0"/>
        <v>-9.5588862205418562E-31</v>
      </c>
      <c r="Y56">
        <v>5</v>
      </c>
    </row>
    <row r="57" spans="4:25" x14ac:dyDescent="0.45">
      <c r="D57" s="48" cm="1">
        <f t="array" ref="D57">INDEX($B$2:$B$31, INT((ROW()-3)/2)+1)</f>
        <v>0.873</v>
      </c>
      <c r="E57" s="48" cm="1">
        <f t="array" ref="E57">IF(MOD(ROW()-3,2)=1,INDEX($C$2:$C$31, (ROW()-3)/2+1),INDEX($C$2:$C$31, (ROW()-4)/2+1))</f>
        <v>0.9</v>
      </c>
      <c r="X57">
        <f t="shared" si="0"/>
        <v>5.9127089391436069E-44</v>
      </c>
      <c r="Y57">
        <v>6</v>
      </c>
    </row>
    <row r="58" spans="4:25" x14ac:dyDescent="0.45">
      <c r="D58" s="48" cm="1">
        <f t="array" ref="D58">INDEX($B$2:$B$31, INT((ROW()-3)/2)+1)</f>
        <v>0.873</v>
      </c>
      <c r="E58" s="48" cm="1">
        <f t="array" ref="E58">IF(MOD(ROW()-3,2)=1,INDEX($C$2:$C$31, (ROW()-3)/2+1),INDEX($C$2:$C$31, (ROW()-4)/2+1))</f>
        <v>0.93333333333333335</v>
      </c>
      <c r="X58">
        <f t="shared" si="0"/>
        <v>-1.4507690860380184E-59</v>
      </c>
      <c r="Y58">
        <v>7</v>
      </c>
    </row>
    <row r="59" spans="4:25" x14ac:dyDescent="0.45">
      <c r="D59" s="48" cm="1">
        <f t="array" ref="D59">INDEX($B$2:$B$31, INT((ROW()-3)/2)+1)</f>
        <v>0.879</v>
      </c>
      <c r="E59" s="48" cm="1">
        <f t="array" ref="E59">IF(MOD(ROW()-3,2)=1,INDEX($C$2:$C$31, (ROW()-3)/2+1),INDEX($C$2:$C$31, (ROW()-4)/2+1))</f>
        <v>0.93333333333333335</v>
      </c>
      <c r="X59">
        <f t="shared" si="0"/>
        <v>1.4120259172208626E-77</v>
      </c>
      <c r="Y59">
        <v>8</v>
      </c>
    </row>
    <row r="60" spans="4:25" x14ac:dyDescent="0.45">
      <c r="D60" s="48" cm="1">
        <f t="array" ref="D60">INDEX($B$2:$B$31, INT((ROW()-3)/2)+1)</f>
        <v>0.879</v>
      </c>
      <c r="E60" s="48" cm="1">
        <f t="array" ref="E60">IF(MOD(ROW()-3,2)=1,INDEX($C$2:$C$31, (ROW()-3)/2+1),INDEX($C$2:$C$31, (ROW()-4)/2+1))</f>
        <v>0.96666666666666667</v>
      </c>
      <c r="X60">
        <f t="shared" si="0"/>
        <v>-5.4515453198828269E-98</v>
      </c>
      <c r="Y60">
        <v>9</v>
      </c>
    </row>
    <row r="61" spans="4:25" x14ac:dyDescent="0.45">
      <c r="D61" s="48" cm="1">
        <f t="array" ref="D61">INDEX($B$2:$B$31, INT((ROW()-3)/2)+1)</f>
        <v>0.94699999999999995</v>
      </c>
      <c r="E61" s="48" cm="1">
        <f t="array" ref="E61">IF(MOD(ROW()-3,2)=1,INDEX($C$2:$C$31, (ROW()-3)/2+1),INDEX($C$2:$C$31, (ROW()-4)/2+1))</f>
        <v>0.96666666666666667</v>
      </c>
      <c r="X61">
        <f t="shared" si="0"/>
        <v>8.3488982630540068E-121</v>
      </c>
      <c r="Y61">
        <v>10</v>
      </c>
    </row>
    <row r="62" spans="4:25" x14ac:dyDescent="0.45">
      <c r="D62" s="48" cm="1">
        <f t="array" ref="D62">INDEX($B$2:$B$31, INT((ROW()-3)/2)+1)</f>
        <v>0.94699999999999995</v>
      </c>
      <c r="E62" s="48" cm="1">
        <f t="array" ref="E62">IF(MOD(ROW()-3,2)=1,INDEX($C$2:$C$31, (ROW()-3)/2+1),INDEX($C$2:$C$31, (ROW()-4)/2+1))</f>
        <v>1</v>
      </c>
      <c r="X62">
        <f t="shared" si="0"/>
        <v>-5.0719071494153947E-146</v>
      </c>
      <c r="Y62">
        <v>11</v>
      </c>
    </row>
    <row r="63" spans="4:25" x14ac:dyDescent="0.45">
      <c r="D63" s="48">
        <v>1</v>
      </c>
      <c r="E63" s="48">
        <v>1</v>
      </c>
      <c r="X63">
        <f t="shared" si="0"/>
        <v>1.2222104797882165E-173</v>
      </c>
      <c r="Y63">
        <v>12</v>
      </c>
    </row>
    <row r="64" spans="4:25" x14ac:dyDescent="0.45">
      <c r="X64">
        <f t="shared" si="0"/>
        <v>-1.1682970913848936E-203</v>
      </c>
      <c r="Y64">
        <v>13</v>
      </c>
    </row>
    <row r="65" spans="24:25" x14ac:dyDescent="0.45">
      <c r="X65">
        <f t="shared" si="0"/>
        <v>4.4298923340178466E-236</v>
      </c>
      <c r="Y65">
        <v>14</v>
      </c>
    </row>
    <row r="66" spans="24:25" x14ac:dyDescent="0.45">
      <c r="X66">
        <f t="shared" ref="X66:X100" si="4">(-1)^(Y66)*EXP((-2) *( Y66^2)*($I$33^2))</f>
        <v>-6.6629358210008179E-271</v>
      </c>
      <c r="Y66">
        <v>15</v>
      </c>
    </row>
    <row r="67" spans="24:25" x14ac:dyDescent="0.45">
      <c r="X67">
        <f t="shared" si="4"/>
        <v>3.9753069907419981E-308</v>
      </c>
      <c r="Y67">
        <v>16</v>
      </c>
    </row>
    <row r="68" spans="24:25" x14ac:dyDescent="0.45">
      <c r="X68">
        <f t="shared" si="4"/>
        <v>0</v>
      </c>
      <c r="Y68">
        <v>17</v>
      </c>
    </row>
    <row r="69" spans="24:25" x14ac:dyDescent="0.45">
      <c r="X69">
        <f t="shared" si="4"/>
        <v>0</v>
      </c>
      <c r="Y69">
        <v>18</v>
      </c>
    </row>
    <row r="70" spans="24:25" x14ac:dyDescent="0.45">
      <c r="X70">
        <f t="shared" si="4"/>
        <v>0</v>
      </c>
      <c r="Y70">
        <v>19</v>
      </c>
    </row>
    <row r="71" spans="24:25" x14ac:dyDescent="0.45">
      <c r="X71">
        <f t="shared" si="4"/>
        <v>0</v>
      </c>
      <c r="Y71">
        <v>20</v>
      </c>
    </row>
    <row r="72" spans="24:25" x14ac:dyDescent="0.45">
      <c r="X72">
        <f t="shared" si="4"/>
        <v>0</v>
      </c>
      <c r="Y72">
        <v>21</v>
      </c>
    </row>
    <row r="73" spans="24:25" x14ac:dyDescent="0.45">
      <c r="X73">
        <f t="shared" si="4"/>
        <v>0</v>
      </c>
      <c r="Y73">
        <v>22</v>
      </c>
    </row>
    <row r="74" spans="24:25" x14ac:dyDescent="0.45">
      <c r="X74">
        <f t="shared" si="4"/>
        <v>0</v>
      </c>
      <c r="Y74">
        <v>23</v>
      </c>
    </row>
    <row r="75" spans="24:25" x14ac:dyDescent="0.45">
      <c r="X75">
        <f t="shared" si="4"/>
        <v>0</v>
      </c>
      <c r="Y75">
        <v>24</v>
      </c>
    </row>
    <row r="76" spans="24:25" x14ac:dyDescent="0.45">
      <c r="X76">
        <f t="shared" si="4"/>
        <v>0</v>
      </c>
      <c r="Y76">
        <v>25</v>
      </c>
    </row>
    <row r="77" spans="24:25" x14ac:dyDescent="0.45">
      <c r="X77">
        <f t="shared" si="4"/>
        <v>0</v>
      </c>
      <c r="Y77">
        <v>26</v>
      </c>
    </row>
    <row r="78" spans="24:25" x14ac:dyDescent="0.45">
      <c r="X78">
        <f t="shared" si="4"/>
        <v>0</v>
      </c>
      <c r="Y78">
        <v>27</v>
      </c>
    </row>
    <row r="79" spans="24:25" x14ac:dyDescent="0.45">
      <c r="X79">
        <f t="shared" si="4"/>
        <v>0</v>
      </c>
      <c r="Y79">
        <v>28</v>
      </c>
    </row>
    <row r="80" spans="24:25" x14ac:dyDescent="0.45">
      <c r="X80">
        <f t="shared" si="4"/>
        <v>0</v>
      </c>
      <c r="Y80">
        <v>29</v>
      </c>
    </row>
    <row r="81" spans="24:25" x14ac:dyDescent="0.45">
      <c r="X81">
        <f t="shared" si="4"/>
        <v>0</v>
      </c>
      <c r="Y81">
        <v>30</v>
      </c>
    </row>
    <row r="82" spans="24:25" x14ac:dyDescent="0.45">
      <c r="X82">
        <f t="shared" si="4"/>
        <v>0</v>
      </c>
      <c r="Y82">
        <v>31</v>
      </c>
    </row>
    <row r="83" spans="24:25" x14ac:dyDescent="0.45">
      <c r="X83">
        <f t="shared" si="4"/>
        <v>0</v>
      </c>
      <c r="Y83">
        <v>32</v>
      </c>
    </row>
    <row r="84" spans="24:25" x14ac:dyDescent="0.45">
      <c r="X84">
        <f t="shared" si="4"/>
        <v>0</v>
      </c>
      <c r="Y84">
        <v>33</v>
      </c>
    </row>
    <row r="85" spans="24:25" x14ac:dyDescent="0.45">
      <c r="X85">
        <f t="shared" si="4"/>
        <v>0</v>
      </c>
      <c r="Y85">
        <v>34</v>
      </c>
    </row>
    <row r="86" spans="24:25" x14ac:dyDescent="0.45">
      <c r="X86">
        <f t="shared" si="4"/>
        <v>0</v>
      </c>
      <c r="Y86">
        <v>35</v>
      </c>
    </row>
    <row r="87" spans="24:25" x14ac:dyDescent="0.45">
      <c r="X87">
        <f t="shared" si="4"/>
        <v>0</v>
      </c>
      <c r="Y87">
        <v>36</v>
      </c>
    </row>
    <row r="88" spans="24:25" x14ac:dyDescent="0.45">
      <c r="X88">
        <f t="shared" si="4"/>
        <v>0</v>
      </c>
      <c r="Y88">
        <v>37</v>
      </c>
    </row>
    <row r="89" spans="24:25" x14ac:dyDescent="0.45">
      <c r="X89">
        <f t="shared" si="4"/>
        <v>0</v>
      </c>
      <c r="Y89">
        <v>38</v>
      </c>
    </row>
    <row r="90" spans="24:25" x14ac:dyDescent="0.45">
      <c r="X90">
        <f t="shared" si="4"/>
        <v>0</v>
      </c>
      <c r="Y90">
        <v>39</v>
      </c>
    </row>
    <row r="91" spans="24:25" x14ac:dyDescent="0.45">
      <c r="X91">
        <f t="shared" si="4"/>
        <v>0</v>
      </c>
      <c r="Y91">
        <v>40</v>
      </c>
    </row>
    <row r="92" spans="24:25" x14ac:dyDescent="0.45">
      <c r="X92">
        <f t="shared" si="4"/>
        <v>0</v>
      </c>
      <c r="Y92">
        <v>41</v>
      </c>
    </row>
    <row r="93" spans="24:25" x14ac:dyDescent="0.45">
      <c r="X93">
        <f t="shared" si="4"/>
        <v>0</v>
      </c>
      <c r="Y93">
        <v>42</v>
      </c>
    </row>
    <row r="94" spans="24:25" x14ac:dyDescent="0.45">
      <c r="X94">
        <f t="shared" si="4"/>
        <v>0</v>
      </c>
      <c r="Y94">
        <v>43</v>
      </c>
    </row>
    <row r="95" spans="24:25" x14ac:dyDescent="0.45">
      <c r="X95">
        <f t="shared" si="4"/>
        <v>0</v>
      </c>
      <c r="Y95">
        <v>44</v>
      </c>
    </row>
    <row r="96" spans="24:25" x14ac:dyDescent="0.45">
      <c r="X96">
        <f t="shared" si="4"/>
        <v>0</v>
      </c>
      <c r="Y96">
        <v>45</v>
      </c>
    </row>
    <row r="97" spans="24:25" x14ac:dyDescent="0.45">
      <c r="X97">
        <f t="shared" si="4"/>
        <v>0</v>
      </c>
      <c r="Y97">
        <v>46</v>
      </c>
    </row>
    <row r="98" spans="24:25" x14ac:dyDescent="0.45">
      <c r="X98">
        <f t="shared" si="4"/>
        <v>0</v>
      </c>
      <c r="Y98">
        <v>47</v>
      </c>
    </row>
    <row r="99" spans="24:25" x14ac:dyDescent="0.45">
      <c r="X99">
        <f t="shared" si="4"/>
        <v>0</v>
      </c>
      <c r="Y99">
        <v>48</v>
      </c>
    </row>
    <row r="100" spans="24:25" x14ac:dyDescent="0.45">
      <c r="X100">
        <f t="shared" si="4"/>
        <v>0</v>
      </c>
      <c r="Y100">
        <v>49</v>
      </c>
    </row>
  </sheetData>
  <sortState xmlns:xlrd2="http://schemas.microsoft.com/office/spreadsheetml/2017/richdata2" ref="B2:B31">
    <sortCondition ref="B2:B31"/>
  </sortState>
  <mergeCells count="6">
    <mergeCell ref="H54:J54"/>
    <mergeCell ref="H45:J45"/>
    <mergeCell ref="G39:H39"/>
    <mergeCell ref="H50:J50"/>
    <mergeCell ref="G31:K31"/>
    <mergeCell ref="G36:R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Tasks 1, 2</vt:lpstr>
      <vt:lpstr>Tasks 3,4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</dc:creator>
  <cp:lastModifiedBy>Илья Бурлаков</cp:lastModifiedBy>
  <dcterms:created xsi:type="dcterms:W3CDTF">2015-06-05T18:17:20Z</dcterms:created>
  <dcterms:modified xsi:type="dcterms:W3CDTF">2025-05-28T07:24:37Z</dcterms:modified>
</cp:coreProperties>
</file>